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udget" sheetId="2" r:id="rId6"/>
    <sheet state="visible" name="Dashboard" sheetId="3" r:id="rId7"/>
    <sheet state="visible" name="Risks" sheetId="4" r:id="rId8"/>
    <sheet state="visible" name="HeatMap" sheetId="5" r:id="rId9"/>
    <sheet state="visible" name="Stakeholders" sheetId="6" r:id="rId10"/>
    <sheet state="visible" name="CommsPlan" sheetId="7" r:id="rId11"/>
    <sheet state="visible" name="Quality" sheetId="8" r:id="rId12"/>
    <sheet state="visible" name="ChangeLog" sheetId="9" r:id="rId13"/>
    <sheet state="visible" name="RACI" sheetId="10" r:id="rId14"/>
    <sheet state="visible" name="IssueLog" sheetId="11" r:id="rId15"/>
    <sheet state="visible" name="Closure" sheetId="12" r:id="rId16"/>
    <sheet state="visible" name="Benefits" sheetId="13" r:id="rId17"/>
    <sheet state="visible" name="Lessons" sheetId="14" r:id="rId18"/>
  </sheets>
  <definedNames/>
  <calcPr/>
</workbook>
</file>

<file path=xl/sharedStrings.xml><?xml version="1.0" encoding="utf-8"?>
<sst xmlns="http://schemas.openxmlformats.org/spreadsheetml/2006/main" count="810" uniqueCount="509">
  <si>
    <t>HealthLink EHR – Project Data Workbook (A2_GroupXX_ProjectData.xlsx)</t>
  </si>
  <si>
    <t>Risk Register</t>
  </si>
  <si>
    <t>Budget and Earned Value Inputs (status date 25 Sep 2026)</t>
  </si>
  <si>
    <t>Tabs:</t>
  </si>
  <si>
    <t>Budget – task costs, BAC, contingency, and earned value inputs</t>
  </si>
  <si>
    <t>Dashboard – PV, EV, AC, SV, CV, SPI, CPI and RAG status at the status date</t>
  </si>
  <si>
    <t>Risks – risk register with scores; HeatMap – 5x5 heat map (counts per cell)</t>
  </si>
  <si>
    <t>Stakeholders – register with power/interest; CommsPlan – communication plan</t>
  </si>
  <si>
    <t>Quality – metrics and targets; ChangeLog – change requests; RACI – responsibility matrix</t>
  </si>
  <si>
    <t>ID</t>
  </si>
  <si>
    <t>WBS</t>
  </si>
  <si>
    <t>IssueLog – issues and corrective actions</t>
  </si>
  <si>
    <t>Closure – closure checklist; Benefits – benefits realisation plan; Lessons – lessons learned so far</t>
  </si>
  <si>
    <t>Risk (cause → event → effect)</t>
  </si>
  <si>
    <t>Category</t>
  </si>
  <si>
    <t>Task</t>
  </si>
  <si>
    <t>Likelihood (1–5)</t>
  </si>
  <si>
    <t>Impact (1–5)</t>
  </si>
  <si>
    <t>Duration (days)</t>
  </si>
  <si>
    <t>Resource 1</t>
  </si>
  <si>
    <t>Score (L×I)</t>
  </si>
  <si>
    <t>Resource 2</t>
  </si>
  <si>
    <t>Rating</t>
  </si>
  <si>
    <t>Owner</t>
  </si>
  <si>
    <t>Combined rate ($/hr)</t>
  </si>
  <si>
    <t>Response type</t>
  </si>
  <si>
    <t>Response action</t>
  </si>
  <si>
    <t>Labour cost ($)</t>
  </si>
  <si>
    <t>Linked WBS</t>
  </si>
  <si>
    <t>Trigger / early warning</t>
  </si>
  <si>
    <t>Status</t>
  </si>
  <si>
    <t>Fixed cost ($)</t>
  </si>
  <si>
    <t>Total planned cost ($)</t>
  </si>
  <si>
    <t>R01</t>
  </si>
  <si>
    <t>Planned % complete at status date</t>
  </si>
  <si>
    <t>Actual % complete at status date</t>
  </si>
  <si>
    <t>Overrun days</t>
  </si>
  <si>
    <t>PV ($)</t>
  </si>
  <si>
    <t>EV ($)</t>
  </si>
  <si>
    <t>AC ($)</t>
  </si>
  <si>
    <t>Legacy data is incomplete or duplicated, so migrated records are wrong and patient safety is at risk</t>
  </si>
  <si>
    <t>Data</t>
  </si>
  <si>
    <t>Resource</t>
  </si>
  <si>
    <t>Rate ($/hr)</t>
  </si>
  <si>
    <t>1.1</t>
  </si>
  <si>
    <t>Project charter approved</t>
  </si>
  <si>
    <t>Project Manager</t>
  </si>
  <si>
    <t>Data Migration Specialist</t>
  </si>
  <si>
    <t>Mitigate</t>
  </si>
  <si>
    <t>Cleansing rules, 2 test migrations, clinician sample audit (≥99.5% accuracy)</t>
  </si>
  <si>
    <t>4.1, 4.2</t>
  </si>
  <si>
    <t>Test migration accuracy below 99.5%</t>
  </si>
  <si>
    <t>Open</t>
  </si>
  <si>
    <t>R02</t>
  </si>
  <si>
    <t>Clinicians resist the new workflow, so adoption is low after go-live</t>
  </si>
  <si>
    <t>People</t>
  </si>
  <si>
    <t>Clinical Lead</t>
  </si>
  <si>
    <t>Clinician super-users, involve clinicians in UAT, targeted training</t>
  </si>
  <si>
    <t>6.1, 6.2</t>
  </si>
  <si>
    <t>Low training attendance; negative UAT feedback</t>
  </si>
  <si>
    <t>R03</t>
  </si>
  <si>
    <t>EHR configuration takes longer than planned, delaying go-live (critical path)</t>
  </si>
  <si>
    <t>Schedule</t>
  </si>
  <si>
    <t>Fixed-scope sprints, weekly progress review, vendor penalty clauses</t>
  </si>
  <si>
    <t>3.2</t>
  </si>
  <si>
    <t>Config sprint misses its target</t>
  </si>
  <si>
    <t>Triggered – see ISSUE-01</t>
  </si>
  <si>
    <t>R04</t>
  </si>
  <si>
    <t>Integration with pathology/radiology/pharmacy fails, so results don't reach clinicians</t>
  </si>
  <si>
    <t>Technical</t>
  </si>
  <si>
    <t>Integration Developer</t>
  </si>
  <si>
    <t>Early interface testing, HL7/FHIR standards, vendor support</t>
  </si>
  <si>
    <t>3.3</t>
  </si>
  <si>
    <t>Interface test failures</t>
  </si>
  <si>
    <t>R05</t>
  </si>
  <si>
    <t>Privacy breach or unauthorised access to patient records</t>
  </si>
  <si>
    <t>Compliance</t>
  </si>
  <si>
    <t>Security &amp; Privacy Officer</t>
  </si>
  <si>
    <t>Avoid</t>
  </si>
  <si>
    <t>Role-based access, audit logs, encryption, privacy impact assessment</t>
  </si>
  <si>
    <t>3.4</t>
  </si>
  <si>
    <t>Audit log anomalies</t>
  </si>
  <si>
    <t>R06</t>
  </si>
  <si>
    <t>Cutover downtime interrupts clinical care</t>
  </si>
  <si>
    <t>Operational</t>
  </si>
  <si>
    <t>Overnight cutover, paper downtime procedures, rollback plan</t>
  </si>
  <si>
    <t>7.1, 7.3</t>
  </si>
  <si>
    <t>Cutover rehearsal overruns</t>
  </si>
  <si>
    <t>R07</t>
  </si>
  <si>
    <t>Vendor tender takes longer due to procurement rules</t>
  </si>
  <si>
    <t>Procurement</t>
  </si>
  <si>
    <t>Business Analyst</t>
  </si>
  <si>
    <t>Early market scan, pre-approved evaluation criteria</t>
  </si>
  <si>
    <t>2.3</t>
  </si>
  <si>
    <t>Tender clarifications extend deadline</t>
  </si>
  <si>
    <t>Closed</t>
  </si>
  <si>
    <t>R08</t>
  </si>
  <si>
    <t>Staff can't be released for training because of rostering</t>
  </si>
  <si>
    <t>5×5 Risk Heat Map (number of risks in each cell)</t>
  </si>
  <si>
    <t>Trainer</t>
  </si>
  <si>
    <t>Short modules, training across shifts, backfill budget</t>
  </si>
  <si>
    <t>6.2</t>
  </si>
  <si>
    <t>Booked sessions under 80% full</t>
  </si>
  <si>
    <t>R09</t>
  </si>
  <si>
    <t>Likelihood ↓ / Impact →</t>
  </si>
  <si>
    <t>Hardware or network delivery delayed at smaller sites</t>
  </si>
  <si>
    <t>Supply</t>
  </si>
  <si>
    <t>Network/Infrastructure Engineer</t>
  </si>
  <si>
    <t>Accept</t>
  </si>
  <si>
    <t>Monitor; 35 days float on 3.1; order early</t>
  </si>
  <si>
    <t>3.1</t>
  </si>
  <si>
    <t>Supplier delivery notice slips</t>
  </si>
  <si>
    <t>R10</t>
  </si>
  <si>
    <t>Cost overrun from change requests and scope creep</t>
  </si>
  <si>
    <t>Cost</t>
  </si>
  <si>
    <t>Project Sponsor</t>
  </si>
  <si>
    <t>Change Control Board, 10% contingency reserve</t>
  </si>
  <si>
    <t>All</t>
  </si>
  <si>
    <t>CPI below 0.95</t>
  </si>
  <si>
    <t>R11</t>
  </si>
  <si>
    <t>Key vendor consultant leaves mid-project</t>
  </si>
  <si>
    <t>Transfer</t>
  </si>
  <si>
    <t>Contract requires vendor replacement within 10 days</t>
  </si>
  <si>
    <t>3.2, 3.3</t>
  </si>
  <si>
    <t>Consultant resignation notice</t>
  </si>
  <si>
    <t>R12</t>
  </si>
  <si>
    <t>Legacy vendor support ends before decommissioning is complete</t>
  </si>
  <si>
    <t>IT Operations Manager</t>
  </si>
  <si>
    <t>Negotiate short support extension as fallback</t>
  </si>
  <si>
    <t>8.2</t>
  </si>
  <si>
    <t>Go-live slips past Feb 2027</t>
  </si>
  <si>
    <t>Scoring: Likelihood 1 rare … 5 almost certain; Impact 1 negligible … 5 severe (patient safety, go-live, or &gt;10% budget). Rating: High ≥15, Medium 8–14, Low ≤7.</t>
  </si>
  <si>
    <t>1.2</t>
  </si>
  <si>
    <t>Stakeholder register &amp; engagement plan</t>
  </si>
  <si>
    <t>1.3</t>
  </si>
  <si>
    <t>PM plan &amp; baseline</t>
  </si>
  <si>
    <t>2.1</t>
  </si>
  <si>
    <t>Clinical workflow analysis (3 sites)</t>
  </si>
  <si>
    <t>2.2</t>
  </si>
  <si>
    <t>Requirements specification</t>
  </si>
  <si>
    <t>EHR Vendor Consultant</t>
  </si>
  <si>
    <t>Vendor tender &amp; selection (incl. EHR licences)</t>
  </si>
  <si>
    <t>Network &amp; hardware upgrade (incl. hardware)</t>
  </si>
  <si>
    <t>EHR configuration &amp; clinical templates</t>
  </si>
  <si>
    <t>Integrations (pathology, radiology, pharmacy)</t>
  </si>
  <si>
    <t>Privacy &amp; security controls</t>
  </si>
  <si>
    <t>Test Analyst</t>
  </si>
  <si>
    <t>4.1</t>
  </si>
  <si>
    <t>Legacy data cleansing &amp; mapping</t>
  </si>
  <si>
    <t>4.2</t>
  </si>
  <si>
    <t>Test data migrations (2 cycles)</t>
  </si>
  <si>
    <t>5.1</t>
  </si>
  <si>
    <t>System &amp; integration testing</t>
  </si>
  <si>
    <t>Hours per day</t>
  </si>
  <si>
    <t>5.2</t>
  </si>
  <si>
    <t>User acceptance testing</t>
  </si>
  <si>
    <t>6.1</t>
  </si>
  <si>
    <t>Training materials &amp; super-users</t>
  </si>
  <si>
    <t>Risk IDs by cell (for labelling the website image):</t>
  </si>
  <si>
    <t>L4 × I5 = 20</t>
  </si>
  <si>
    <t>L4 × I4 = 16</t>
  </si>
  <si>
    <t>L3 × I5 = 15</t>
  </si>
  <si>
    <t>R03, R04, R06</t>
  </si>
  <si>
    <t>L4 × I3 = 12</t>
  </si>
  <si>
    <t>L3 × I4 = 12</t>
  </si>
  <si>
    <t>L2 × I5 = 10</t>
  </si>
  <si>
    <t>End-user training (all sites)</t>
  </si>
  <si>
    <t>L3 × I3 = 9</t>
  </si>
  <si>
    <t>L2 × I4 = 8</t>
  </si>
  <si>
    <t>R11, R12</t>
  </si>
  <si>
    <t>L2 × I3 = 6</t>
  </si>
  <si>
    <t>Legend: red = High (15–25), amber = Medium (8–14), green = Low (1–7)</t>
  </si>
  <si>
    <t>7.1</t>
  </si>
  <si>
    <t>Pilot go-live: Site A</t>
  </si>
  <si>
    <t>7.2</t>
  </si>
  <si>
    <t>Post-pilot review &amp; fixes</t>
  </si>
  <si>
    <t>7.3</t>
  </si>
  <si>
    <t>Rollout Sites B &amp; C + final migration</t>
  </si>
  <si>
    <t>8.1</t>
  </si>
  <si>
    <t>Hypercare support</t>
  </si>
  <si>
    <t>Legacy decommissioning</t>
  </si>
  <si>
    <t>8.3</t>
  </si>
  <si>
    <t>Closure, lessons learned &amp; benefits handover</t>
  </si>
  <si>
    <t>TOTAL (BAC = Budget at Completion)</t>
  </si>
  <si>
    <t>Contingency reserve %</t>
  </si>
  <si>
    <t>Contingency reserve ($)</t>
  </si>
  <si>
    <t>Approved project budget ($)</t>
  </si>
  <si>
    <t>Notes: Planned % = share of task duration that should be finished by 25 Sep 2026 per the baseline. 3.2 finished 10 working days late (Overrun days = 10), so 3.3, 3.4, 4.2 and 6.1 had not started.</t>
  </si>
  <si>
    <t>Stakeholder Register</t>
  </si>
  <si>
    <t>Stakeholder</t>
  </si>
  <si>
    <t>Role / interest in project</t>
  </si>
  <si>
    <t>Power</t>
  </si>
  <si>
    <t>Interest</t>
  </si>
  <si>
    <t>Current engagement</t>
  </si>
  <si>
    <t>Desired engagement</t>
  </si>
  <si>
    <t>Strategy (power-interest quadrant)</t>
  </si>
  <si>
    <t>Engagement actions</t>
  </si>
  <si>
    <t>S01</t>
  </si>
  <si>
    <t>Network Chief Executive</t>
  </si>
  <si>
    <t>Project sponsor</t>
  </si>
  <si>
    <t>High</t>
  </si>
  <si>
    <t>Supportive</t>
  </si>
  <si>
    <t>Leading</t>
  </si>
  <si>
    <t>Manage closely</t>
  </si>
  <si>
    <t>Monthly steering committee; approves budget and go-live</t>
  </si>
  <si>
    <t>S02</t>
  </si>
  <si>
    <t>Chief Medical Information Officer</t>
  </si>
  <si>
    <t>Business owner / clinical sponsor</t>
  </si>
  <si>
    <t>Chairs clinical design authority; signs off UAT</t>
  </si>
  <si>
    <t>S03</t>
  </si>
  <si>
    <t>Doctors (all sites)</t>
  </si>
  <si>
    <t>End users</t>
  </si>
  <si>
    <t>Medium</t>
  </si>
  <si>
    <t>Resistant</t>
  </si>
  <si>
    <t>Keep informed → involve</t>
  </si>
  <si>
    <t>Clinician champions, UAT involvement, demos</t>
  </si>
  <si>
    <t>S04</t>
  </si>
  <si>
    <t>Nurses &amp; Nurse Unit Managers</t>
  </si>
  <si>
    <t>End users; release staff for training</t>
  </si>
  <si>
    <t>Neutral</t>
  </si>
  <si>
    <t>Roster-friendly training, super-users on each ward</t>
  </si>
  <si>
    <t>S05</t>
  </si>
  <si>
    <t>Health Information / Records team</t>
  </si>
  <si>
    <t>Data owners</t>
  </si>
  <si>
    <t>Keep informed</t>
  </si>
  <si>
    <t>Data migration working group</t>
  </si>
  <si>
    <t>S06</t>
  </si>
  <si>
    <t>Runs infrastructure after handover</t>
  </si>
  <si>
    <t>Keep satisfied</t>
  </si>
  <si>
    <t>Communication Plan</t>
  </si>
  <si>
    <t>Technical working group; BAU handover plan</t>
  </si>
  <si>
    <t>S07</t>
  </si>
  <si>
    <t>EHR Vendor</t>
  </si>
  <si>
    <t>Supplier</t>
  </si>
  <si>
    <t>Contract meetings, weekly delivery review</t>
  </si>
  <si>
    <t>Communication</t>
  </si>
  <si>
    <t>S08</t>
  </si>
  <si>
    <t>Privacy Commissioner / State Health Dept</t>
  </si>
  <si>
    <t>Regulator</t>
  </si>
  <si>
    <t>Audience</t>
  </si>
  <si>
    <t>Low</t>
  </si>
  <si>
    <t>Unaware</t>
  </si>
  <si>
    <t>Content</t>
  </si>
  <si>
    <t>Method</t>
  </si>
  <si>
    <t>Privacy impact assessment shared; compliance reports</t>
  </si>
  <si>
    <t>Frequency</t>
  </si>
  <si>
    <t>S09</t>
  </si>
  <si>
    <t>Patients &amp; community</t>
  </si>
  <si>
    <t>Affected by record accuracy and downtime</t>
  </si>
  <si>
    <t>Steering committee report</t>
  </si>
  <si>
    <t>Hospital newsletter, signage during cutover</t>
  </si>
  <si>
    <t>Sponsor, CMIO, Finance Director</t>
  </si>
  <si>
    <t>S10</t>
  </si>
  <si>
    <t>Status, RAG, SPI/CPI, top risks, decisions needed</t>
  </si>
  <si>
    <t>Finance Director</t>
  </si>
  <si>
    <t>Budget control</t>
  </si>
  <si>
    <t>Meeting + written report</t>
  </si>
  <si>
    <t>Monthly</t>
  </si>
  <si>
    <t>Monthly cost report (CPI, contingency)</t>
  </si>
  <si>
    <t>S11</t>
  </si>
  <si>
    <t>Pathology, radiology &amp; pharmacy departments</t>
  </si>
  <si>
    <t>Clinical design authority</t>
  </si>
  <si>
    <t>Integration partners</t>
  </si>
  <si>
    <t>CMIO, clinician champions</t>
  </si>
  <si>
    <t>Configuration decisions, template sign-off</t>
  </si>
  <si>
    <t>Interface testing sessions</t>
  </si>
  <si>
    <t>Workshop</t>
  </si>
  <si>
    <t>Fortnightly</t>
  </si>
  <si>
    <t>Project team stand-up</t>
  </si>
  <si>
    <t>Project team, vendor</t>
  </si>
  <si>
    <t>Progress, blockers, Trello board review</t>
  </si>
  <si>
    <t>Video call</t>
  </si>
  <si>
    <t>Daily (15 min)</t>
  </si>
  <si>
    <t>Change Control Board</t>
  </si>
  <si>
    <t>Sponsor, CMIO, IT Ops Manager</t>
  </si>
  <si>
    <t>Change requests and impact</t>
  </si>
  <si>
    <t>Meeting</t>
  </si>
  <si>
    <t>Fortnightly / as needed</t>
  </si>
  <si>
    <t>Staff newsletter &amp; intranet</t>
  </si>
  <si>
    <t>All staff</t>
  </si>
  <si>
    <t>What's changing, training dates, go-live dates</t>
  </si>
  <si>
    <t>Email / intranet</t>
  </si>
  <si>
    <t>Ward huddles</t>
  </si>
  <si>
    <t>Nurses, doctors</t>
  </si>
  <si>
    <t>Training reminders, go-live readiness, quick tips</t>
  </si>
  <si>
    <t>Face to face</t>
  </si>
  <si>
    <t>Weekly before go-live</t>
  </si>
  <si>
    <t>Super-users</t>
  </si>
  <si>
    <t>Vendor delivery review</t>
  </si>
  <si>
    <t>Deliverables, defects, contract milestones</t>
  </si>
  <si>
    <t>Weekly</t>
  </si>
  <si>
    <t>Regulator compliance update</t>
  </si>
  <si>
    <t>Privacy impact assessment, security controls</t>
  </si>
  <si>
    <t>Formal letter / report</t>
  </si>
  <si>
    <t>At milestones M2 and M3</t>
  </si>
  <si>
    <t>Patient notices</t>
  </si>
  <si>
    <t>Downtime periods, what to expect</t>
  </si>
  <si>
    <t>Signage, website</t>
  </si>
  <si>
    <t>2 weeks before each site go-live</t>
  </si>
  <si>
    <t>Communications Officer</t>
  </si>
  <si>
    <t>Project Status Dashboard – status date Fri 25 Sep 2026</t>
  </si>
  <si>
    <t>Measure</t>
  </si>
  <si>
    <t>Value</t>
  </si>
  <si>
    <t>What it means</t>
  </si>
  <si>
    <t>Budget at Completion (BAC)</t>
  </si>
  <si>
    <t>Total planned cost of the project (from ProjectLibre costs)</t>
  </si>
  <si>
    <t>Planned Value (PV)</t>
  </si>
  <si>
    <t>Value of work that should be done by 25 Sep</t>
  </si>
  <si>
    <t>Earned Value (EV)</t>
  </si>
  <si>
    <t>Value of work actually done by 25 Sep</t>
  </si>
  <si>
    <t>Actual Cost (AC)</t>
  </si>
  <si>
    <t>What the completed work actually cost</t>
  </si>
  <si>
    <t>Schedule Variance SV = EV − PV</t>
  </si>
  <si>
    <t>Quality Requirements and Metrics</t>
  </si>
  <si>
    <t>Quality requirement</t>
  </si>
  <si>
    <t>Metric</t>
  </si>
  <si>
    <t>Target</t>
  </si>
  <si>
    <t>How / when checked (quality control)</t>
  </si>
  <si>
    <t>Negative = behind schedule</t>
  </si>
  <si>
    <t>Cost Variance CV = EV − AC</t>
  </si>
  <si>
    <t>Q1</t>
  </si>
  <si>
    <t>Change Request Log</t>
  </si>
  <si>
    <t>Data migration accuracy</t>
  </si>
  <si>
    <t>% of sampled records matching source</t>
  </si>
  <si>
    <t>≥ 99.5%</t>
  </si>
  <si>
    <t>CR ID</t>
  </si>
  <si>
    <t>Sample audit of 500 records per test cycle</t>
  </si>
  <si>
    <t>4.2, 7.3</t>
  </si>
  <si>
    <t>Date raised</t>
  </si>
  <si>
    <t>Raised by</t>
  </si>
  <si>
    <t>Q2</t>
  </si>
  <si>
    <t>Change requested</t>
  </si>
  <si>
    <t>Critical defects at go-live</t>
  </si>
  <si>
    <t>Impact (scope / time / cost)</t>
  </si>
  <si>
    <t>Open severity-1 defects</t>
  </si>
  <si>
    <t>Risk impact</t>
  </si>
  <si>
    <t>0</t>
  </si>
  <si>
    <t>Decision</t>
  </si>
  <si>
    <t>Defect log review at readiness sign-off (M3)</t>
  </si>
  <si>
    <t>Decided by / date</t>
  </si>
  <si>
    <t>5.1, 5.2</t>
  </si>
  <si>
    <t>CR-01</t>
  </si>
  <si>
    <t>14 Aug 2026</t>
  </si>
  <si>
    <t>CMIO</t>
  </si>
  <si>
    <t>Q3</t>
  </si>
  <si>
    <t>Add radiology image viewer to clinician workspace</t>
  </si>
  <si>
    <t>UAT pass rate</t>
  </si>
  <si>
    <t>Scope +; +5 days on 3.3 (non-critical at the time); +$12,000</t>
  </si>
  <si>
    <t>% of UAT scripts passed</t>
  </si>
  <si>
    <t>Low (uses existing interface)</t>
  </si>
  <si>
    <t>≥ 95%</t>
  </si>
  <si>
    <t>Approved</t>
  </si>
  <si>
    <t>UAT results report</t>
  </si>
  <si>
    <t>CCB 21 Aug 2026</t>
  </si>
  <si>
    <t>CR-02</t>
  </si>
  <si>
    <t>Q4</t>
  </si>
  <si>
    <t>18 Sep 2026</t>
  </si>
  <si>
    <t>Staff trained before go-live</t>
  </si>
  <si>
    <t>% of staff completing training</t>
  </si>
  <si>
    <t>Negative = over budget</t>
  </si>
  <si>
    <t>Add second vendor consultant to 3.3 Integrations to recover 5 of 10 days lost on 3.2</t>
  </si>
  <si>
    <t>Training attendance records</t>
  </si>
  <si>
    <t>Schedule −5 days; cost +$25,600 (20 days × 8 h × $160) from contingency</t>
  </si>
  <si>
    <t>Schedule Performance Index SPI = EV / PV</t>
  </si>
  <si>
    <t>Reduces R03/R04 exposure</t>
  </si>
  <si>
    <t>Q5</t>
  </si>
  <si>
    <t>CCB 22 Sep 2026</t>
  </si>
  <si>
    <t>System availability</t>
  </si>
  <si>
    <t>Uptime during hypercare</t>
  </si>
  <si>
    <t>CR-03</t>
  </si>
  <si>
    <t>≥ 99.9%</t>
  </si>
  <si>
    <t>21 Sep 2026</t>
  </si>
  <si>
    <t>Vendor monitoring report</t>
  </si>
  <si>
    <t>Site B Director</t>
  </si>
  <si>
    <t>Add patient-facing mobile app</t>
  </si>
  <si>
    <t>Out of scope (exclusion); est. +$400,000 and +60 days</t>
  </si>
  <si>
    <t>Q6</t>
  </si>
  <si>
    <t>Record retrieval time</t>
  </si>
  <si>
    <t>Rejected – refer to future project</t>
  </si>
  <si>
    <t>Time to open full cross-site record</t>
  </si>
  <si>
    <t>&lt; 2 minutes</t>
  </si>
  <si>
    <t>Timed sample, 3 months after go-live</t>
  </si>
  <si>
    <t>Benefit B1</t>
  </si>
  <si>
    <t>Below 1.00 = behind schedule</t>
  </si>
  <si>
    <t>Cost Performance Index CPI = EV / AC</t>
  </si>
  <si>
    <t>Below 1.00 = over budget</t>
  </si>
  <si>
    <t>Estimate at Completion EAC = BAC / CPI</t>
  </si>
  <si>
    <t>RACI Matrix (R = Responsible, A = Accountable, C = Consulted, I = Informed)</t>
  </si>
  <si>
    <t>Deliverable</t>
  </si>
  <si>
    <t>Sponsor</t>
  </si>
  <si>
    <t>Forecast final cost if current cost performance continues</t>
  </si>
  <si>
    <t>Variance at Completion VAC = BAC − EAC</t>
  </si>
  <si>
    <t>IT Ops / Infrastructure</t>
  </si>
  <si>
    <t>Project charter</t>
  </si>
  <si>
    <t>A</t>
  </si>
  <si>
    <t>C</t>
  </si>
  <si>
    <t>R</t>
  </si>
  <si>
    <t>I</t>
  </si>
  <si>
    <t>Vendor selection</t>
  </si>
  <si>
    <t>Forecast over/under run at completion</t>
  </si>
  <si>
    <t>Critical path slip (working days, from ProjectLibre)</t>
  </si>
  <si>
    <t>EHR configuration</t>
  </si>
  <si>
    <t>Integrations</t>
  </si>
  <si>
    <t>Data migration</t>
  </si>
  <si>
    <t>3.2 finished 10 days late and is on the critical path</t>
  </si>
  <si>
    <t>Days recovered by CR-02 (forecast)</t>
  </si>
  <si>
    <t>Second vendor consultant on 3.3 (approved change CR-02)</t>
  </si>
  <si>
    <t>Testing &amp; UAT</t>
  </si>
  <si>
    <t>Forecast go-live slip (working days)</t>
  </si>
  <si>
    <t>Training</t>
  </si>
  <si>
    <t>Go-live decision</t>
  </si>
  <si>
    <t>Project closure</t>
  </si>
  <si>
    <t>Rule check: each deliverable has exactly one A.</t>
  </si>
  <si>
    <t>Remaining delay to go-live forecast</t>
  </si>
  <si>
    <t>Schedule RAG</t>
  </si>
  <si>
    <t>Rule: RED if SPI&lt;0.95 or slip&gt;10 days; AMBER if SPI&lt;1 or any slip</t>
  </si>
  <si>
    <t>Cost RAG</t>
  </si>
  <si>
    <t>Rule: RED if CPI&lt;0.95; AMBER if CPI&lt;1</t>
  </si>
  <si>
    <t>Interpretation: SPI and CPI look close to 1.00 because the large fixed costs (licences, hardware) were already spent on time. The real problem is the critical path: 3.2 finished 10 days late, which pushes go-live back unless corrected. Look at the slip in days, not just the indices.</t>
  </si>
  <si>
    <t>Issue Log</t>
  </si>
  <si>
    <t>Issue</t>
  </si>
  <si>
    <t>Priority</t>
  </si>
  <si>
    <t>Impact</t>
  </si>
  <si>
    <t>Corrective action</t>
  </si>
  <si>
    <t>ISSUE-01</t>
  </si>
  <si>
    <t>11 Sep 2026</t>
  </si>
  <si>
    <t>3.2 EHR configuration not complete: clinicians requested template rework</t>
  </si>
  <si>
    <t>Critical path slips 10 working days; go-live at risk</t>
  </si>
  <si>
    <t>CR-02 approved: second vendor consultant on 3.3; start 6.1 in parallel with 3.3</t>
  </si>
  <si>
    <t>Resolved 25 Sep 2026 (3.2 complete, 10 days late); schedule recovery in progress</t>
  </si>
  <si>
    <t>ISSUE-02</t>
  </si>
  <si>
    <t>29 Sep 2026</t>
  </si>
  <si>
    <t>Pharmacy system vendor late supplying interface specification</t>
  </si>
  <si>
    <t>Part of 3.3 blocked; could erode the 5 days recovered</t>
  </si>
  <si>
    <t>Escalated to vendor account manager; build pathology and radiology interfaces first</t>
  </si>
  <si>
    <t>Open – due 6 Oct 2026</t>
  </si>
  <si>
    <t>ISSUE-03</t>
  </si>
  <si>
    <t>22 Sep 2026</t>
  </si>
  <si>
    <t>Site C training room unavailable in November</t>
  </si>
  <si>
    <t>6.2 training at Site C may slip</t>
  </si>
  <si>
    <t>Book community clinic room; add online modules</t>
  </si>
  <si>
    <t>Project Closure Checklist</t>
  </si>
  <si>
    <t>Closure item</t>
  </si>
  <si>
    <t>Sponsor acceptance of all deliverables</t>
  </si>
  <si>
    <t>Planned</t>
  </si>
  <si>
    <t>All sites live and stable (M4)</t>
  </si>
  <si>
    <t>Hypercare exit criteria met</t>
  </si>
  <si>
    <t>Open defects handed to BAU support</t>
  </si>
  <si>
    <t>Legacy systems decommissioned and data archived</t>
  </si>
  <si>
    <t>Vendor contract deliverables confirmed and final payment</t>
  </si>
  <si>
    <t>Final cost report and contingency reconciled</t>
  </si>
  <si>
    <t>Lessons learned workshop held and recorded</t>
  </si>
  <si>
    <t>Benefits owners confirmed and measurement scheduled</t>
  </si>
  <si>
    <t>Project documents archived</t>
  </si>
  <si>
    <t>Team released and thanked</t>
  </si>
  <si>
    <t>Benefits Realisation Plan</t>
  </si>
  <si>
    <t>Benefit</t>
  </si>
  <si>
    <t>Baseline</t>
  </si>
  <si>
    <t>When measured</t>
  </si>
  <si>
    <t>Benefit owner</t>
  </si>
  <si>
    <t>B1</t>
  </si>
  <si>
    <t>Faster access to full patient records</t>
  </si>
  <si>
    <t>Time to retrieve cross-site record</t>
  </si>
  <si>
    <t>~20 min</t>
  </si>
  <si>
    <t>&lt; 2 min</t>
  </si>
  <si>
    <t>3 months after go-live</t>
  </si>
  <si>
    <t>B2</t>
  </si>
  <si>
    <t>Fewer medication errors from missing information</t>
  </si>
  <si>
    <t>Medication incidents per 1,000 admissions</t>
  </si>
  <si>
    <t>Baseline FY2026</t>
  </si>
  <si>
    <t>−20%</t>
  </si>
  <si>
    <t>12 months after go-live</t>
  </si>
  <si>
    <t>Director of Pharmacy</t>
  </si>
  <si>
    <t>B3</t>
  </si>
  <si>
    <t>Less duplicate testing</t>
  </si>
  <si>
    <t>Repeat pathology tests within 48 h</t>
  </si>
  <si>
    <t>−15%</t>
  </si>
  <si>
    <t>Pathology Director</t>
  </si>
  <si>
    <t>B4</t>
  </si>
  <si>
    <t>Lower legacy support costs</t>
  </si>
  <si>
    <t>Annual support and licence cost of old systems</t>
  </si>
  <si>
    <t>4 systems</t>
  </si>
  <si>
    <t>Decommissioned</t>
  </si>
  <si>
    <t>After 8.2</t>
  </si>
  <si>
    <t>B5</t>
  </si>
  <si>
    <t>Better compliance and audit</t>
  </si>
  <si>
    <t>Records with complete audit trail</t>
  </si>
  <si>
    <t>Partial</t>
  </si>
  <si>
    <t>100%</t>
  </si>
  <si>
    <t>At go-live</t>
  </si>
  <si>
    <t>Lessons Learned (to date)</t>
  </si>
  <si>
    <t>Area</t>
  </si>
  <si>
    <t>What happened</t>
  </si>
  <si>
    <t>Recommendation for future projects</t>
  </si>
  <si>
    <t>Clinical involvement</t>
  </si>
  <si>
    <t>Template rework on 3.2 happened because clinicians reviewed designs late</t>
  </si>
  <si>
    <t>Hold clinician review at the end of every configuration sprint, not only at the end</t>
  </si>
  <si>
    <t>Critical path focus</t>
  </si>
  <si>
    <t>SPI/CPI looked healthy while the critical path slipped</t>
  </si>
  <si>
    <t>Report critical-path slip in days alongside SPI/CPI on the dashboard</t>
  </si>
  <si>
    <t>Change control</t>
  </si>
  <si>
    <t>CR-03 (mobile app) was assessed and rejected quickly because exclusions were written in the scope statement</t>
  </si>
  <si>
    <t>Keep exclusions explicit in every scope document</t>
  </si>
  <si>
    <t>Vendor dependencies</t>
  </si>
  <si>
    <t>Third-party pharmacy vendor was not in the communication plan early enough (ISSUE-02)</t>
  </si>
  <si>
    <t>Add all integration partners to the stakeholder register at initiation</t>
  </si>
  <si>
    <t>Tool integration</t>
  </si>
  <si>
    <t>Using the same WBS codes in ProjectLibre, Trello and the risk register made tracing issues fast</t>
  </si>
  <si>
    <t>Set a WBS coding standard on day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</si>
</sst>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;($#,##0);-"/>
  </numFmts>
  <fonts count="8">
    <font>
      <sz val="11.0"/>
      <color theme="1"/>
      <name val="Calibri"/>
      <scheme val="minor"/>
    </font>
    <font>
      <b/>
      <sz val="14.0"/>
      <color theme="1"/>
      <name val="Arial"/>
    </font>
    <font>
      <color theme="1"/>
      <name val="Arial"/>
    </font>
    <font>
      <b/>
      <color rgb="FFFFFFFF"/>
      <name val="Arial"/>
    </font>
    <font>
      <color rgb="FF0000FF"/>
      <name val="Arial"/>
    </font>
    <font>
      <b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E699"/>
        <bgColor rgb="FFFFE699"/>
      </patternFill>
    </fill>
    <fill>
      <patternFill patternType="solid">
        <fgColor rgb="FFF4B6B6"/>
        <bgColor rgb="FFF4B6B6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2" fillId="2" fontId="3" numFmtId="0" xfId="0" applyBorder="1" applyFill="1" applyFont="1"/>
    <xf borderId="1" fillId="0" fontId="4" numFmtId="0" xfId="0" applyAlignment="1" applyBorder="1" applyFont="1">
      <alignment shrinkToFit="0" vertical="top" wrapText="1"/>
    </xf>
    <xf borderId="1" fillId="0" fontId="2" numFmtId="0" xfId="0" applyBorder="1" applyFont="1"/>
    <xf borderId="1" fillId="0" fontId="4" numFmtId="0" xfId="0" applyBorder="1" applyFont="1"/>
    <xf borderId="1" fillId="0" fontId="2" numFmtId="164" xfId="0" applyBorder="1" applyFont="1" applyNumberFormat="1"/>
    <xf borderId="1" fillId="0" fontId="4" numFmtId="164" xfId="0" applyBorder="1" applyFont="1" applyNumberFormat="1"/>
    <xf borderId="0" fillId="0" fontId="5" numFmtId="0" xfId="0" applyFont="1"/>
    <xf borderId="1" fillId="0" fontId="4" numFmtId="9" xfId="0" applyBorder="1" applyFont="1" applyNumberFormat="1"/>
    <xf borderId="0" fillId="0" fontId="5" numFmtId="0" xfId="0" applyAlignment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0" fillId="0" fontId="4" numFmtId="0" xfId="0" applyFont="1"/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0" fillId="0" fontId="6" numFmtId="0" xfId="0" applyFont="1"/>
    <xf borderId="0" fillId="0" fontId="5" numFmtId="164" xfId="0" applyFont="1" applyNumberFormat="1"/>
    <xf borderId="0" fillId="0" fontId="4" numFmtId="9" xfId="0" applyFont="1" applyNumberFormat="1"/>
    <xf borderId="0" fillId="0" fontId="7" numFmtId="164" xfId="0" applyFont="1" applyNumberFormat="1"/>
    <xf borderId="0" fillId="0" fontId="7" numFmtId="0" xfId="0" applyAlignment="1" applyFont="1">
      <alignment shrinkToFit="0" vertical="top" wrapText="1"/>
    </xf>
    <xf borderId="1" fillId="0" fontId="2" numFmtId="2" xfId="0" applyBorder="1" applyFont="1" applyNumberFormat="1"/>
    <xf borderId="1" fillId="0" fontId="4" numFmtId="1" xfId="0" applyBorder="1" applyFont="1" applyNumberFormat="1"/>
    <xf borderId="1" fillId="0" fontId="2" numFmtId="1" xfId="0" applyBorder="1" applyFont="1" applyNumberFormat="1"/>
    <xf borderId="1" fillId="0" fontId="2" numFmtId="49" xfId="0" applyBorder="1" applyFont="1" applyNumberForma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4B6B6"/>
          <bgColor rgb="FFF4B6B6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vs Measure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Dashboard!$A$5:$A$7</c:f>
            </c:strRef>
          </c:cat>
          <c:val>
            <c:numRef>
              <c:f>Dashboard!$B$5:$B$7</c:f>
              <c:numCache/>
            </c:numRef>
          </c:val>
        </c:ser>
        <c:axId val="1401133982"/>
        <c:axId val="1219171051"/>
      </c:barChart>
      <c:catAx>
        <c:axId val="1401133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Measure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171051"/>
      </c:catAx>
      <c:valAx>
        <c:axId val="1219171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133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1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/>
    </row>
    <row r="3">
      <c r="A3" s="2" t="s">
        <v>3</v>
      </c>
    </row>
    <row r="4">
      <c r="A4" s="2" t="s">
        <v>4</v>
      </c>
    </row>
    <row r="5">
      <c r="A5" s="2" t="s">
        <v>5</v>
      </c>
    </row>
    <row r="6">
      <c r="A6" s="2" t="s">
        <v>6</v>
      </c>
    </row>
    <row r="7">
      <c r="A7" s="2" t="s">
        <v>7</v>
      </c>
    </row>
    <row r="8">
      <c r="A8" s="2" t="s">
        <v>8</v>
      </c>
    </row>
    <row r="9">
      <c r="A9" s="2" t="s">
        <v>11</v>
      </c>
    </row>
    <row r="10">
      <c r="A10" s="2" t="s">
        <v>12</v>
      </c>
    </row>
    <row r="11">
      <c r="A11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40.0"/>
    <col customWidth="1" min="3" max="3" width="10.0"/>
    <col customWidth="1" min="4" max="5" width="26.0"/>
    <col customWidth="1" min="6" max="6" width="12.0"/>
    <col customWidth="1" min="7" max="8" width="14.0"/>
    <col customWidth="1" min="9" max="9" width="16.0"/>
    <col customWidth="1" min="10" max="11" width="14.0"/>
    <col customWidth="1" min="12" max="12" width="10.0"/>
    <col customWidth="1" min="13" max="15" width="14.0"/>
    <col customWidth="1" min="16" max="17" width="8.71"/>
    <col customWidth="1" min="18" max="18" width="30.0"/>
    <col customWidth="1" min="19" max="19" width="12.0"/>
    <col customWidth="1" min="20" max="26" width="8.71"/>
  </cols>
  <sheetData>
    <row r="1">
      <c r="A1" s="1" t="s">
        <v>2</v>
      </c>
    </row>
    <row r="3">
      <c r="A3" s="3" t="s">
        <v>10</v>
      </c>
      <c r="B3" s="3" t="s">
        <v>15</v>
      </c>
      <c r="C3" s="3" t="s">
        <v>18</v>
      </c>
      <c r="D3" s="3" t="s">
        <v>19</v>
      </c>
      <c r="E3" s="3" t="s">
        <v>21</v>
      </c>
      <c r="F3" s="3" t="s">
        <v>24</v>
      </c>
      <c r="G3" s="3" t="s">
        <v>27</v>
      </c>
      <c r="H3" s="3" t="s">
        <v>31</v>
      </c>
      <c r="I3" s="3" t="s">
        <v>32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R3" s="5" t="s">
        <v>42</v>
      </c>
      <c r="S3" s="5" t="s">
        <v>43</v>
      </c>
    </row>
    <row r="4">
      <c r="A4" s="7" t="s">
        <v>44</v>
      </c>
      <c r="B4" s="7" t="s">
        <v>45</v>
      </c>
      <c r="C4" s="8">
        <v>5.0</v>
      </c>
      <c r="D4" s="8" t="s">
        <v>46</v>
      </c>
      <c r="E4" s="8"/>
      <c r="F4" s="7">
        <f t="shared" ref="F4:F25" si="1">IFERROR(INDEX($S$5:$S$14,MATCH(D4,$R$5:$R$14,0)),0)+IFERROR(INDEX($S$5:$S$14,MATCH(E4,$R$5:$R$14,0)),0)</f>
        <v>120</v>
      </c>
      <c r="G4" s="9">
        <f t="shared" ref="G4:G25" si="2">C4*$S$16*F4</f>
        <v>4800</v>
      </c>
      <c r="H4" s="10">
        <v>0.0</v>
      </c>
      <c r="I4" s="9">
        <f t="shared" ref="I4:I25" si="3">G4+H4</f>
        <v>4800</v>
      </c>
      <c r="J4" s="12">
        <v>1.0</v>
      </c>
      <c r="K4" s="12">
        <v>1.0</v>
      </c>
      <c r="L4" s="8">
        <v>0.0</v>
      </c>
      <c r="M4" s="9">
        <f t="shared" ref="M4:M25" si="4">I4*J4</f>
        <v>4800</v>
      </c>
      <c r="N4" s="9">
        <f t="shared" ref="N4:N25" si="5">I4*K4</f>
        <v>4800</v>
      </c>
      <c r="O4" s="9">
        <f t="shared" ref="O4:O25" si="6">I4*K4+L4*$S$16*F4</f>
        <v>4800</v>
      </c>
    </row>
    <row r="5">
      <c r="A5" s="7" t="s">
        <v>132</v>
      </c>
      <c r="B5" s="7" t="s">
        <v>133</v>
      </c>
      <c r="C5" s="8">
        <v>5.0</v>
      </c>
      <c r="D5" s="8" t="s">
        <v>91</v>
      </c>
      <c r="E5" s="8" t="s">
        <v>46</v>
      </c>
      <c r="F5" s="7">
        <f t="shared" si="1"/>
        <v>215</v>
      </c>
      <c r="G5" s="9">
        <f t="shared" si="2"/>
        <v>8600</v>
      </c>
      <c r="H5" s="10">
        <v>0.0</v>
      </c>
      <c r="I5" s="9">
        <f t="shared" si="3"/>
        <v>8600</v>
      </c>
      <c r="J5" s="12">
        <v>1.0</v>
      </c>
      <c r="K5" s="12">
        <v>1.0</v>
      </c>
      <c r="L5" s="8">
        <v>0.0</v>
      </c>
      <c r="M5" s="9">
        <f t="shared" si="4"/>
        <v>8600</v>
      </c>
      <c r="N5" s="9">
        <f t="shared" si="5"/>
        <v>8600</v>
      </c>
      <c r="O5" s="9">
        <f t="shared" si="6"/>
        <v>8600</v>
      </c>
      <c r="R5" s="2" t="s">
        <v>46</v>
      </c>
      <c r="S5" s="15">
        <v>120.0</v>
      </c>
    </row>
    <row r="6">
      <c r="A6" s="7" t="s">
        <v>134</v>
      </c>
      <c r="B6" s="7" t="s">
        <v>135</v>
      </c>
      <c r="C6" s="8">
        <v>10.0</v>
      </c>
      <c r="D6" s="8" t="s">
        <v>46</v>
      </c>
      <c r="E6" s="8"/>
      <c r="F6" s="7">
        <f t="shared" si="1"/>
        <v>120</v>
      </c>
      <c r="G6" s="9">
        <f t="shared" si="2"/>
        <v>9600</v>
      </c>
      <c r="H6" s="10">
        <v>0.0</v>
      </c>
      <c r="I6" s="9">
        <f t="shared" si="3"/>
        <v>9600</v>
      </c>
      <c r="J6" s="12">
        <v>1.0</v>
      </c>
      <c r="K6" s="12">
        <v>1.0</v>
      </c>
      <c r="L6" s="8">
        <v>0.0</v>
      </c>
      <c r="M6" s="9">
        <f t="shared" si="4"/>
        <v>9600</v>
      </c>
      <c r="N6" s="9">
        <f t="shared" si="5"/>
        <v>9600</v>
      </c>
      <c r="O6" s="9">
        <f t="shared" si="6"/>
        <v>9600</v>
      </c>
      <c r="R6" s="2" t="s">
        <v>91</v>
      </c>
      <c r="S6" s="15">
        <v>95.0</v>
      </c>
    </row>
    <row r="7">
      <c r="A7" s="7" t="s">
        <v>136</v>
      </c>
      <c r="B7" s="7" t="s">
        <v>137</v>
      </c>
      <c r="C7" s="8">
        <v>15.0</v>
      </c>
      <c r="D7" s="8" t="s">
        <v>91</v>
      </c>
      <c r="E7" s="8" t="s">
        <v>56</v>
      </c>
      <c r="F7" s="7">
        <f t="shared" si="1"/>
        <v>205</v>
      </c>
      <c r="G7" s="9">
        <f t="shared" si="2"/>
        <v>24600</v>
      </c>
      <c r="H7" s="10">
        <v>0.0</v>
      </c>
      <c r="I7" s="9">
        <f t="shared" si="3"/>
        <v>24600</v>
      </c>
      <c r="J7" s="12">
        <v>1.0</v>
      </c>
      <c r="K7" s="12">
        <v>1.0</v>
      </c>
      <c r="L7" s="8">
        <v>0.0</v>
      </c>
      <c r="M7" s="9">
        <f t="shared" si="4"/>
        <v>24600</v>
      </c>
      <c r="N7" s="9">
        <f t="shared" si="5"/>
        <v>24600</v>
      </c>
      <c r="O7" s="9">
        <f t="shared" si="6"/>
        <v>24600</v>
      </c>
      <c r="R7" s="2" t="s">
        <v>56</v>
      </c>
      <c r="S7" s="15">
        <v>110.0</v>
      </c>
    </row>
    <row r="8">
      <c r="A8" s="7" t="s">
        <v>138</v>
      </c>
      <c r="B8" s="7" t="s">
        <v>139</v>
      </c>
      <c r="C8" s="8">
        <v>15.0</v>
      </c>
      <c r="D8" s="8" t="s">
        <v>91</v>
      </c>
      <c r="E8" s="8" t="s">
        <v>56</v>
      </c>
      <c r="F8" s="7">
        <f t="shared" si="1"/>
        <v>205</v>
      </c>
      <c r="G8" s="9">
        <f t="shared" si="2"/>
        <v>24600</v>
      </c>
      <c r="H8" s="10">
        <v>0.0</v>
      </c>
      <c r="I8" s="9">
        <f t="shared" si="3"/>
        <v>24600</v>
      </c>
      <c r="J8" s="12">
        <v>1.0</v>
      </c>
      <c r="K8" s="12">
        <v>1.0</v>
      </c>
      <c r="L8" s="8">
        <v>0.0</v>
      </c>
      <c r="M8" s="9">
        <f t="shared" si="4"/>
        <v>24600</v>
      </c>
      <c r="N8" s="9">
        <f t="shared" si="5"/>
        <v>24600</v>
      </c>
      <c r="O8" s="9">
        <f t="shared" si="6"/>
        <v>24600</v>
      </c>
      <c r="R8" s="2" t="s">
        <v>140</v>
      </c>
      <c r="S8" s="15">
        <v>160.0</v>
      </c>
    </row>
    <row r="9">
      <c r="A9" s="7" t="s">
        <v>93</v>
      </c>
      <c r="B9" s="7" t="s">
        <v>141</v>
      </c>
      <c r="C9" s="8">
        <v>20.0</v>
      </c>
      <c r="D9" s="8" t="s">
        <v>91</v>
      </c>
      <c r="E9" s="8" t="s">
        <v>46</v>
      </c>
      <c r="F9" s="7">
        <f t="shared" si="1"/>
        <v>215</v>
      </c>
      <c r="G9" s="9">
        <f t="shared" si="2"/>
        <v>34400</v>
      </c>
      <c r="H9" s="10">
        <v>2400000.0</v>
      </c>
      <c r="I9" s="9">
        <f t="shared" si="3"/>
        <v>2434400</v>
      </c>
      <c r="J9" s="12">
        <v>1.0</v>
      </c>
      <c r="K9" s="12">
        <v>1.0</v>
      </c>
      <c r="L9" s="8">
        <v>0.0</v>
      </c>
      <c r="M9" s="9">
        <f t="shared" si="4"/>
        <v>2434400</v>
      </c>
      <c r="N9" s="9">
        <f t="shared" si="5"/>
        <v>2434400</v>
      </c>
      <c r="O9" s="9">
        <f t="shared" si="6"/>
        <v>2434400</v>
      </c>
      <c r="R9" s="2" t="s">
        <v>70</v>
      </c>
      <c r="S9" s="15">
        <v>130.0</v>
      </c>
    </row>
    <row r="10">
      <c r="A10" s="7" t="s">
        <v>110</v>
      </c>
      <c r="B10" s="7" t="s">
        <v>142</v>
      </c>
      <c r="C10" s="8">
        <v>30.0</v>
      </c>
      <c r="D10" s="8" t="s">
        <v>107</v>
      </c>
      <c r="E10" s="8"/>
      <c r="F10" s="7">
        <f t="shared" si="1"/>
        <v>105</v>
      </c>
      <c r="G10" s="9">
        <f t="shared" si="2"/>
        <v>25200</v>
      </c>
      <c r="H10" s="10">
        <v>650000.0</v>
      </c>
      <c r="I10" s="9">
        <f t="shared" si="3"/>
        <v>675200</v>
      </c>
      <c r="J10" s="12">
        <v>1.0</v>
      </c>
      <c r="K10" s="12">
        <v>1.0</v>
      </c>
      <c r="L10" s="8">
        <v>0.0</v>
      </c>
      <c r="M10" s="9">
        <f t="shared" si="4"/>
        <v>675200</v>
      </c>
      <c r="N10" s="9">
        <f t="shared" si="5"/>
        <v>675200</v>
      </c>
      <c r="O10" s="9">
        <f t="shared" si="6"/>
        <v>675200</v>
      </c>
      <c r="R10" s="2" t="s">
        <v>47</v>
      </c>
      <c r="S10" s="15">
        <v>115.0</v>
      </c>
    </row>
    <row r="11">
      <c r="A11" s="7" t="s">
        <v>64</v>
      </c>
      <c r="B11" s="7" t="s">
        <v>143</v>
      </c>
      <c r="C11" s="8">
        <v>40.0</v>
      </c>
      <c r="D11" s="8" t="s">
        <v>56</v>
      </c>
      <c r="E11" s="8" t="s">
        <v>140</v>
      </c>
      <c r="F11" s="7">
        <f t="shared" si="1"/>
        <v>270</v>
      </c>
      <c r="G11" s="9">
        <f t="shared" si="2"/>
        <v>86400</v>
      </c>
      <c r="H11" s="10">
        <v>0.0</v>
      </c>
      <c r="I11" s="9">
        <f t="shared" si="3"/>
        <v>86400</v>
      </c>
      <c r="J11" s="12">
        <v>1.0</v>
      </c>
      <c r="K11" s="12">
        <v>1.0</v>
      </c>
      <c r="L11" s="8">
        <v>10.0</v>
      </c>
      <c r="M11" s="9">
        <f t="shared" si="4"/>
        <v>86400</v>
      </c>
      <c r="N11" s="9">
        <f t="shared" si="5"/>
        <v>86400</v>
      </c>
      <c r="O11" s="9">
        <f t="shared" si="6"/>
        <v>108000</v>
      </c>
      <c r="R11" s="2" t="s">
        <v>107</v>
      </c>
      <c r="S11" s="15">
        <v>105.0</v>
      </c>
    </row>
    <row r="12">
      <c r="A12" s="7" t="s">
        <v>72</v>
      </c>
      <c r="B12" s="7" t="s">
        <v>144</v>
      </c>
      <c r="C12" s="8">
        <v>25.0</v>
      </c>
      <c r="D12" s="8" t="s">
        <v>70</v>
      </c>
      <c r="E12" s="8"/>
      <c r="F12" s="7">
        <f t="shared" si="1"/>
        <v>130</v>
      </c>
      <c r="G12" s="9">
        <f t="shared" si="2"/>
        <v>26000</v>
      </c>
      <c r="H12" s="10">
        <v>0.0</v>
      </c>
      <c r="I12" s="9">
        <f t="shared" si="3"/>
        <v>26000</v>
      </c>
      <c r="J12" s="12">
        <v>0.4</v>
      </c>
      <c r="K12" s="12">
        <v>0.0</v>
      </c>
      <c r="L12" s="8">
        <v>0.0</v>
      </c>
      <c r="M12" s="9">
        <f t="shared" si="4"/>
        <v>10400</v>
      </c>
      <c r="N12" s="9">
        <f t="shared" si="5"/>
        <v>0</v>
      </c>
      <c r="O12" s="9">
        <f t="shared" si="6"/>
        <v>0</v>
      </c>
      <c r="R12" s="2" t="s">
        <v>77</v>
      </c>
      <c r="S12" s="15">
        <v>115.0</v>
      </c>
    </row>
    <row r="13">
      <c r="A13" s="7" t="s">
        <v>80</v>
      </c>
      <c r="B13" s="7" t="s">
        <v>145</v>
      </c>
      <c r="C13" s="8">
        <v>15.0</v>
      </c>
      <c r="D13" s="8" t="s">
        <v>77</v>
      </c>
      <c r="E13" s="8"/>
      <c r="F13" s="7">
        <f t="shared" si="1"/>
        <v>115</v>
      </c>
      <c r="G13" s="9">
        <f t="shared" si="2"/>
        <v>13800</v>
      </c>
      <c r="H13" s="10">
        <v>0.0</v>
      </c>
      <c r="I13" s="9">
        <f t="shared" si="3"/>
        <v>13800</v>
      </c>
      <c r="J13" s="12">
        <v>0.6667</v>
      </c>
      <c r="K13" s="12">
        <v>0.0</v>
      </c>
      <c r="L13" s="8">
        <v>0.0</v>
      </c>
      <c r="M13" s="9">
        <f t="shared" si="4"/>
        <v>9200.46</v>
      </c>
      <c r="N13" s="9">
        <f t="shared" si="5"/>
        <v>0</v>
      </c>
      <c r="O13" s="9">
        <f t="shared" si="6"/>
        <v>0</v>
      </c>
      <c r="R13" s="2" t="s">
        <v>146</v>
      </c>
      <c r="S13" s="15">
        <v>85.0</v>
      </c>
    </row>
    <row r="14">
      <c r="A14" s="7" t="s">
        <v>147</v>
      </c>
      <c r="B14" s="7" t="s">
        <v>148</v>
      </c>
      <c r="C14" s="8">
        <v>25.0</v>
      </c>
      <c r="D14" s="8" t="s">
        <v>91</v>
      </c>
      <c r="E14" s="8" t="s">
        <v>47</v>
      </c>
      <c r="F14" s="7">
        <f t="shared" si="1"/>
        <v>210</v>
      </c>
      <c r="G14" s="9">
        <f t="shared" si="2"/>
        <v>42000</v>
      </c>
      <c r="H14" s="10">
        <v>0.0</v>
      </c>
      <c r="I14" s="9">
        <f t="shared" si="3"/>
        <v>42000</v>
      </c>
      <c r="J14" s="12">
        <v>1.0</v>
      </c>
      <c r="K14" s="12">
        <v>1.0</v>
      </c>
      <c r="L14" s="8">
        <v>0.0</v>
      </c>
      <c r="M14" s="9">
        <f t="shared" si="4"/>
        <v>42000</v>
      </c>
      <c r="N14" s="9">
        <f t="shared" si="5"/>
        <v>42000</v>
      </c>
      <c r="O14" s="9">
        <f t="shared" si="6"/>
        <v>42000</v>
      </c>
      <c r="R14" s="2" t="s">
        <v>99</v>
      </c>
      <c r="S14" s="15">
        <v>80.0</v>
      </c>
    </row>
    <row r="15">
      <c r="A15" s="7" t="s">
        <v>149</v>
      </c>
      <c r="B15" s="7" t="s">
        <v>150</v>
      </c>
      <c r="C15" s="8">
        <v>15.0</v>
      </c>
      <c r="D15" s="8" t="s">
        <v>47</v>
      </c>
      <c r="E15" s="8" t="s">
        <v>146</v>
      </c>
      <c r="F15" s="7">
        <f t="shared" si="1"/>
        <v>200</v>
      </c>
      <c r="G15" s="9">
        <f t="shared" si="2"/>
        <v>24000</v>
      </c>
      <c r="H15" s="10">
        <v>0.0</v>
      </c>
      <c r="I15" s="9">
        <f t="shared" si="3"/>
        <v>24000</v>
      </c>
      <c r="J15" s="12">
        <v>0.6667</v>
      </c>
      <c r="K15" s="12">
        <v>0.0</v>
      </c>
      <c r="L15" s="8">
        <v>0.0</v>
      </c>
      <c r="M15" s="9">
        <f t="shared" si="4"/>
        <v>16000.8</v>
      </c>
      <c r="N15" s="9">
        <f t="shared" si="5"/>
        <v>0</v>
      </c>
      <c r="O15" s="9">
        <f t="shared" si="6"/>
        <v>0</v>
      </c>
    </row>
    <row r="16">
      <c r="A16" s="7" t="s">
        <v>151</v>
      </c>
      <c r="B16" s="7" t="s">
        <v>152</v>
      </c>
      <c r="C16" s="8">
        <v>15.0</v>
      </c>
      <c r="D16" s="8" t="s">
        <v>70</v>
      </c>
      <c r="E16" s="8" t="s">
        <v>146</v>
      </c>
      <c r="F16" s="7">
        <f t="shared" si="1"/>
        <v>215</v>
      </c>
      <c r="G16" s="9">
        <f t="shared" si="2"/>
        <v>25800</v>
      </c>
      <c r="H16" s="10">
        <v>0.0</v>
      </c>
      <c r="I16" s="9">
        <f t="shared" si="3"/>
        <v>25800</v>
      </c>
      <c r="J16" s="12">
        <v>0.0</v>
      </c>
      <c r="K16" s="12">
        <v>0.0</v>
      </c>
      <c r="L16" s="8">
        <v>0.0</v>
      </c>
      <c r="M16" s="9">
        <f t="shared" si="4"/>
        <v>0</v>
      </c>
      <c r="N16" s="9">
        <f t="shared" si="5"/>
        <v>0</v>
      </c>
      <c r="O16" s="9">
        <f t="shared" si="6"/>
        <v>0</v>
      </c>
      <c r="R16" s="18" t="s">
        <v>153</v>
      </c>
      <c r="S16" s="15">
        <v>8.0</v>
      </c>
    </row>
    <row r="17">
      <c r="A17" s="7" t="s">
        <v>154</v>
      </c>
      <c r="B17" s="7" t="s">
        <v>155</v>
      </c>
      <c r="C17" s="8">
        <v>10.0</v>
      </c>
      <c r="D17" s="8" t="s">
        <v>56</v>
      </c>
      <c r="E17" s="8" t="s">
        <v>146</v>
      </c>
      <c r="F17" s="7">
        <f t="shared" si="1"/>
        <v>195</v>
      </c>
      <c r="G17" s="9">
        <f t="shared" si="2"/>
        <v>15600</v>
      </c>
      <c r="H17" s="10">
        <v>0.0</v>
      </c>
      <c r="I17" s="9">
        <f t="shared" si="3"/>
        <v>15600</v>
      </c>
      <c r="J17" s="12">
        <v>0.0</v>
      </c>
      <c r="K17" s="12">
        <v>0.0</v>
      </c>
      <c r="L17" s="8">
        <v>0.0</v>
      </c>
      <c r="M17" s="9">
        <f t="shared" si="4"/>
        <v>0</v>
      </c>
      <c r="N17" s="9">
        <f t="shared" si="5"/>
        <v>0</v>
      </c>
      <c r="O17" s="9">
        <f t="shared" si="6"/>
        <v>0</v>
      </c>
    </row>
    <row r="18">
      <c r="A18" s="7" t="s">
        <v>156</v>
      </c>
      <c r="B18" s="7" t="s">
        <v>157</v>
      </c>
      <c r="C18" s="8">
        <v>20.0</v>
      </c>
      <c r="D18" s="8" t="s">
        <v>56</v>
      </c>
      <c r="E18" s="8" t="s">
        <v>99</v>
      </c>
      <c r="F18" s="7">
        <f t="shared" si="1"/>
        <v>190</v>
      </c>
      <c r="G18" s="9">
        <f t="shared" si="2"/>
        <v>30400</v>
      </c>
      <c r="H18" s="10">
        <v>0.0</v>
      </c>
      <c r="I18" s="9">
        <f t="shared" si="3"/>
        <v>30400</v>
      </c>
      <c r="J18" s="12">
        <v>0.5</v>
      </c>
      <c r="K18" s="12">
        <v>0.0</v>
      </c>
      <c r="L18" s="8">
        <v>0.0</v>
      </c>
      <c r="M18" s="9">
        <f t="shared" si="4"/>
        <v>15200</v>
      </c>
      <c r="N18" s="9">
        <f t="shared" si="5"/>
        <v>0</v>
      </c>
      <c r="O18" s="9">
        <f t="shared" si="6"/>
        <v>0</v>
      </c>
    </row>
    <row r="19">
      <c r="A19" s="7" t="s">
        <v>101</v>
      </c>
      <c r="B19" s="7" t="s">
        <v>166</v>
      </c>
      <c r="C19" s="8">
        <v>20.0</v>
      </c>
      <c r="D19" s="8" t="s">
        <v>99</v>
      </c>
      <c r="E19" s="8"/>
      <c r="F19" s="7">
        <f t="shared" si="1"/>
        <v>80</v>
      </c>
      <c r="G19" s="9">
        <f t="shared" si="2"/>
        <v>12800</v>
      </c>
      <c r="H19" s="10">
        <v>0.0</v>
      </c>
      <c r="I19" s="9">
        <f t="shared" si="3"/>
        <v>12800</v>
      </c>
      <c r="J19" s="12">
        <v>0.0</v>
      </c>
      <c r="K19" s="12">
        <v>0.0</v>
      </c>
      <c r="L19" s="8">
        <v>0.0</v>
      </c>
      <c r="M19" s="9">
        <f t="shared" si="4"/>
        <v>0</v>
      </c>
      <c r="N19" s="9">
        <f t="shared" si="5"/>
        <v>0</v>
      </c>
      <c r="O19" s="9">
        <f t="shared" si="6"/>
        <v>0</v>
      </c>
    </row>
    <row r="20">
      <c r="A20" s="7" t="s">
        <v>172</v>
      </c>
      <c r="B20" s="7" t="s">
        <v>173</v>
      </c>
      <c r="C20" s="8">
        <v>5.0</v>
      </c>
      <c r="D20" s="8" t="s">
        <v>56</v>
      </c>
      <c r="E20" s="8" t="s">
        <v>46</v>
      </c>
      <c r="F20" s="7">
        <f t="shared" si="1"/>
        <v>230</v>
      </c>
      <c r="G20" s="9">
        <f t="shared" si="2"/>
        <v>9200</v>
      </c>
      <c r="H20" s="10">
        <v>0.0</v>
      </c>
      <c r="I20" s="9">
        <f t="shared" si="3"/>
        <v>9200</v>
      </c>
      <c r="J20" s="12">
        <v>0.0</v>
      </c>
      <c r="K20" s="12">
        <v>0.0</v>
      </c>
      <c r="L20" s="8">
        <v>0.0</v>
      </c>
      <c r="M20" s="9">
        <f t="shared" si="4"/>
        <v>0</v>
      </c>
      <c r="N20" s="9">
        <f t="shared" si="5"/>
        <v>0</v>
      </c>
      <c r="O20" s="9">
        <f t="shared" si="6"/>
        <v>0</v>
      </c>
    </row>
    <row r="21" ht="15.75" customHeight="1">
      <c r="A21" s="7" t="s">
        <v>174</v>
      </c>
      <c r="B21" s="7" t="s">
        <v>175</v>
      </c>
      <c r="C21" s="8">
        <v>10.0</v>
      </c>
      <c r="D21" s="8" t="s">
        <v>70</v>
      </c>
      <c r="E21" s="8" t="s">
        <v>46</v>
      </c>
      <c r="F21" s="7">
        <f t="shared" si="1"/>
        <v>250</v>
      </c>
      <c r="G21" s="9">
        <f t="shared" si="2"/>
        <v>20000</v>
      </c>
      <c r="H21" s="10">
        <v>0.0</v>
      </c>
      <c r="I21" s="9">
        <f t="shared" si="3"/>
        <v>20000</v>
      </c>
      <c r="J21" s="12">
        <v>0.0</v>
      </c>
      <c r="K21" s="12">
        <v>0.0</v>
      </c>
      <c r="L21" s="8">
        <v>0.0</v>
      </c>
      <c r="M21" s="9">
        <f t="shared" si="4"/>
        <v>0</v>
      </c>
      <c r="N21" s="9">
        <f t="shared" si="5"/>
        <v>0</v>
      </c>
      <c r="O21" s="9">
        <f t="shared" si="6"/>
        <v>0</v>
      </c>
    </row>
    <row r="22" ht="15.75" customHeight="1">
      <c r="A22" s="7" t="s">
        <v>176</v>
      </c>
      <c r="B22" s="7" t="s">
        <v>177</v>
      </c>
      <c r="C22" s="8">
        <v>10.0</v>
      </c>
      <c r="D22" s="8" t="s">
        <v>56</v>
      </c>
      <c r="E22" s="8" t="s">
        <v>46</v>
      </c>
      <c r="F22" s="7">
        <f t="shared" si="1"/>
        <v>230</v>
      </c>
      <c r="G22" s="9">
        <f t="shared" si="2"/>
        <v>18400</v>
      </c>
      <c r="H22" s="10">
        <v>0.0</v>
      </c>
      <c r="I22" s="9">
        <f t="shared" si="3"/>
        <v>18400</v>
      </c>
      <c r="J22" s="12">
        <v>0.0</v>
      </c>
      <c r="K22" s="12">
        <v>0.0</v>
      </c>
      <c r="L22" s="8">
        <v>0.0</v>
      </c>
      <c r="M22" s="9">
        <f t="shared" si="4"/>
        <v>0</v>
      </c>
      <c r="N22" s="9">
        <f t="shared" si="5"/>
        <v>0</v>
      </c>
      <c r="O22" s="9">
        <f t="shared" si="6"/>
        <v>0</v>
      </c>
    </row>
    <row r="23" ht="15.75" customHeight="1">
      <c r="A23" s="7" t="s">
        <v>178</v>
      </c>
      <c r="B23" s="7" t="s">
        <v>179</v>
      </c>
      <c r="C23" s="8">
        <v>20.0</v>
      </c>
      <c r="D23" s="8" t="s">
        <v>56</v>
      </c>
      <c r="E23" s="8" t="s">
        <v>146</v>
      </c>
      <c r="F23" s="7">
        <f t="shared" si="1"/>
        <v>195</v>
      </c>
      <c r="G23" s="9">
        <f t="shared" si="2"/>
        <v>31200</v>
      </c>
      <c r="H23" s="10">
        <v>0.0</v>
      </c>
      <c r="I23" s="9">
        <f t="shared" si="3"/>
        <v>31200</v>
      </c>
      <c r="J23" s="12">
        <v>0.0</v>
      </c>
      <c r="K23" s="12">
        <v>0.0</v>
      </c>
      <c r="L23" s="8">
        <v>0.0</v>
      </c>
      <c r="M23" s="9">
        <f t="shared" si="4"/>
        <v>0</v>
      </c>
      <c r="N23" s="9">
        <f t="shared" si="5"/>
        <v>0</v>
      </c>
      <c r="O23" s="9">
        <f t="shared" si="6"/>
        <v>0</v>
      </c>
    </row>
    <row r="24" ht="15.75" customHeight="1">
      <c r="A24" s="7" t="s">
        <v>129</v>
      </c>
      <c r="B24" s="7" t="s">
        <v>180</v>
      </c>
      <c r="C24" s="8">
        <v>10.0</v>
      </c>
      <c r="D24" s="8" t="s">
        <v>107</v>
      </c>
      <c r="E24" s="8"/>
      <c r="F24" s="7">
        <f t="shared" si="1"/>
        <v>105</v>
      </c>
      <c r="G24" s="9">
        <f t="shared" si="2"/>
        <v>8400</v>
      </c>
      <c r="H24" s="10">
        <v>0.0</v>
      </c>
      <c r="I24" s="9">
        <f t="shared" si="3"/>
        <v>8400</v>
      </c>
      <c r="J24" s="12">
        <v>0.0</v>
      </c>
      <c r="K24" s="12">
        <v>0.0</v>
      </c>
      <c r="L24" s="8">
        <v>0.0</v>
      </c>
      <c r="M24" s="9">
        <f t="shared" si="4"/>
        <v>0</v>
      </c>
      <c r="N24" s="9">
        <f t="shared" si="5"/>
        <v>0</v>
      </c>
      <c r="O24" s="9">
        <f t="shared" si="6"/>
        <v>0</v>
      </c>
    </row>
    <row r="25" ht="15.75" customHeight="1">
      <c r="A25" s="7" t="s">
        <v>181</v>
      </c>
      <c r="B25" s="7" t="s">
        <v>182</v>
      </c>
      <c r="C25" s="8">
        <v>5.0</v>
      </c>
      <c r="D25" s="8" t="s">
        <v>46</v>
      </c>
      <c r="E25" s="8"/>
      <c r="F25" s="7">
        <f t="shared" si="1"/>
        <v>120</v>
      </c>
      <c r="G25" s="9">
        <f t="shared" si="2"/>
        <v>4800</v>
      </c>
      <c r="H25" s="10">
        <v>0.0</v>
      </c>
      <c r="I25" s="9">
        <f t="shared" si="3"/>
        <v>4800</v>
      </c>
      <c r="J25" s="12">
        <v>0.0</v>
      </c>
      <c r="K25" s="12">
        <v>0.0</v>
      </c>
      <c r="L25" s="8">
        <v>0.0</v>
      </c>
      <c r="M25" s="9">
        <f t="shared" si="4"/>
        <v>0</v>
      </c>
      <c r="N25" s="9">
        <f t="shared" si="5"/>
        <v>0</v>
      </c>
      <c r="O25" s="9">
        <f t="shared" si="6"/>
        <v>0</v>
      </c>
    </row>
    <row r="26" ht="15.75" customHeight="1">
      <c r="B26" s="11" t="s">
        <v>183</v>
      </c>
      <c r="G26" s="19">
        <f t="shared" ref="G26:I26" si="7">SUM(G4:G25)</f>
        <v>500600</v>
      </c>
      <c r="H26" s="19">
        <f t="shared" si="7"/>
        <v>3050000</v>
      </c>
      <c r="I26" s="19">
        <f t="shared" si="7"/>
        <v>3550600</v>
      </c>
      <c r="M26" s="19">
        <f t="shared" ref="M26:O26" si="8">SUM(M4:M25)</f>
        <v>3361001.26</v>
      </c>
      <c r="N26" s="19">
        <f t="shared" si="8"/>
        <v>3310200</v>
      </c>
      <c r="O26" s="19">
        <f t="shared" si="8"/>
        <v>3331800</v>
      </c>
    </row>
    <row r="27" ht="15.75" customHeight="1">
      <c r="B27" s="2" t="s">
        <v>184</v>
      </c>
      <c r="I27" s="20">
        <v>0.1</v>
      </c>
    </row>
    <row r="28" ht="15.75" customHeight="1">
      <c r="B28" s="18" t="s">
        <v>185</v>
      </c>
      <c r="I28" s="21">
        <f>I26*I27</f>
        <v>355060</v>
      </c>
    </row>
    <row r="29" ht="15.75" customHeight="1">
      <c r="B29" s="11" t="s">
        <v>186</v>
      </c>
      <c r="I29" s="19">
        <f>I26+I28</f>
        <v>3905660</v>
      </c>
    </row>
    <row r="30" ht="15.75" customHeight="1"/>
    <row r="31" ht="15.75" customHeight="1">
      <c r="B31" s="22" t="s">
        <v>187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18.0"/>
    <col customWidth="1" min="3" max="3" width="70.0"/>
    <col customWidth="1" min="4" max="26" width="8.71"/>
  </cols>
  <sheetData>
    <row r="1">
      <c r="A1" s="1" t="s">
        <v>300</v>
      </c>
    </row>
    <row r="3">
      <c r="A3" s="5" t="s">
        <v>301</v>
      </c>
      <c r="B3" s="5" t="s">
        <v>302</v>
      </c>
      <c r="C3" s="5" t="s">
        <v>303</v>
      </c>
    </row>
    <row r="4">
      <c r="A4" s="7" t="s">
        <v>304</v>
      </c>
      <c r="B4" s="9">
        <f>Budget!I26</f>
        <v>3550600</v>
      </c>
      <c r="C4" s="7" t="s">
        <v>305</v>
      </c>
    </row>
    <row r="5">
      <c r="A5" s="7" t="s">
        <v>306</v>
      </c>
      <c r="B5" s="9">
        <f>Budget!M26</f>
        <v>3361001.26</v>
      </c>
      <c r="C5" s="7" t="s">
        <v>307</v>
      </c>
    </row>
    <row r="6">
      <c r="A6" s="7" t="s">
        <v>308</v>
      </c>
      <c r="B6" s="9">
        <f>Budget!N26</f>
        <v>3310200</v>
      </c>
      <c r="C6" s="7" t="s">
        <v>309</v>
      </c>
    </row>
    <row r="7">
      <c r="A7" s="7" t="s">
        <v>310</v>
      </c>
      <c r="B7" s="9">
        <f>Budget!O26</f>
        <v>3331800</v>
      </c>
      <c r="C7" s="7" t="s">
        <v>311</v>
      </c>
    </row>
    <row r="8">
      <c r="A8" s="7" t="s">
        <v>312</v>
      </c>
      <c r="B8" s="9">
        <f>B6-B5</f>
        <v>-50801.26</v>
      </c>
      <c r="C8" s="7" t="s">
        <v>318</v>
      </c>
    </row>
    <row r="9">
      <c r="A9" s="7" t="s">
        <v>319</v>
      </c>
      <c r="B9" s="9">
        <f>B6-B7</f>
        <v>-21600</v>
      </c>
      <c r="C9" s="7" t="s">
        <v>359</v>
      </c>
    </row>
    <row r="10">
      <c r="A10" s="7" t="s">
        <v>363</v>
      </c>
      <c r="B10" s="23">
        <f>IFERROR(B6/B5,0)</f>
        <v>0.9848850815</v>
      </c>
      <c r="C10" s="7" t="s">
        <v>383</v>
      </c>
    </row>
    <row r="11">
      <c r="A11" s="7" t="s">
        <v>384</v>
      </c>
      <c r="B11" s="23">
        <f>IFERROR(B6/B7,0)</f>
        <v>0.9935170178</v>
      </c>
      <c r="C11" s="7" t="s">
        <v>385</v>
      </c>
    </row>
    <row r="12">
      <c r="A12" s="7" t="s">
        <v>386</v>
      </c>
      <c r="B12" s="9">
        <f>IFERROR(B4/B11,0)</f>
        <v>3573768.679</v>
      </c>
      <c r="C12" s="7" t="s">
        <v>390</v>
      </c>
    </row>
    <row r="13">
      <c r="A13" s="7" t="s">
        <v>391</v>
      </c>
      <c r="B13" s="9">
        <f>B4-B12</f>
        <v>-23168.67863</v>
      </c>
      <c r="C13" s="7" t="s">
        <v>399</v>
      </c>
    </row>
    <row r="14">
      <c r="A14" s="7" t="s">
        <v>400</v>
      </c>
      <c r="B14" s="24">
        <v>10.0</v>
      </c>
      <c r="C14" s="7" t="s">
        <v>404</v>
      </c>
    </row>
    <row r="15">
      <c r="A15" s="7" t="s">
        <v>405</v>
      </c>
      <c r="B15" s="24">
        <v>5.0</v>
      </c>
      <c r="C15" s="7" t="s">
        <v>406</v>
      </c>
    </row>
    <row r="16">
      <c r="A16" s="7" t="s">
        <v>408</v>
      </c>
      <c r="B16" s="25">
        <f>B14-B15</f>
        <v>5</v>
      </c>
      <c r="C16" s="7" t="s">
        <v>413</v>
      </c>
    </row>
    <row r="17">
      <c r="A17" s="7" t="s">
        <v>414</v>
      </c>
      <c r="B17" s="26" t="str">
        <f>IF(OR(B10&lt;0.95,B16&gt;10),"RED",IF(OR(B10&lt;1,B16&gt;0),"AMBER","GREEN"))</f>
        <v>AMBER</v>
      </c>
      <c r="C17" s="7" t="s">
        <v>415</v>
      </c>
    </row>
    <row r="18">
      <c r="A18" s="7" t="s">
        <v>416</v>
      </c>
      <c r="B18" s="26" t="str">
        <f>IF(B11&lt;0.95,"RED",IF(B11&lt;1,"AMBER","GREEN"))</f>
        <v>AMBER</v>
      </c>
      <c r="C18" s="7" t="s">
        <v>417</v>
      </c>
    </row>
    <row r="20">
      <c r="A20" s="27" t="s">
        <v>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C22"/>
  </mergeCells>
  <conditionalFormatting sqref="B17:B18">
    <cfRule type="cellIs" dxfId="0" priority="1" operator="equal">
      <formula>"RED"</formula>
    </cfRule>
  </conditionalFormatting>
  <conditionalFormatting sqref="B17:B18">
    <cfRule type="cellIs" dxfId="1" priority="2" operator="equal">
      <formula>"AMBER"</formula>
    </cfRule>
  </conditionalFormatting>
  <conditionalFormatting sqref="B17:B18">
    <cfRule type="cellIs" dxfId="2" priority="3" operator="equal">
      <formula>"GREEN"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50.0"/>
    <col customWidth="1" min="3" max="3" width="12.0"/>
    <col customWidth="1" min="4" max="4" width="11.0"/>
    <col customWidth="1" min="5" max="7" width="10.0"/>
    <col customWidth="1" min="8" max="8" width="24.0"/>
    <col customWidth="1" min="9" max="9" width="12.0"/>
    <col customWidth="1" min="10" max="10" width="45.0"/>
    <col customWidth="1" min="11" max="11" width="10.0"/>
    <col customWidth="1" min="12" max="12" width="32.0"/>
    <col customWidth="1" min="13" max="13" width="18.0"/>
    <col customWidth="1" min="14" max="26" width="8.71"/>
  </cols>
  <sheetData>
    <row r="1">
      <c r="A1" s="1" t="s">
        <v>1</v>
      </c>
    </row>
    <row r="3">
      <c r="A3" s="3" t="s">
        <v>9</v>
      </c>
      <c r="B3" s="3" t="s">
        <v>13</v>
      </c>
      <c r="C3" s="3" t="s">
        <v>14</v>
      </c>
      <c r="D3" s="3" t="s">
        <v>16</v>
      </c>
      <c r="E3" s="3" t="s">
        <v>17</v>
      </c>
      <c r="F3" s="3" t="s">
        <v>20</v>
      </c>
      <c r="G3" s="3" t="s">
        <v>22</v>
      </c>
      <c r="H3" s="3" t="s">
        <v>23</v>
      </c>
      <c r="I3" s="3" t="s">
        <v>25</v>
      </c>
      <c r="J3" s="3" t="s">
        <v>26</v>
      </c>
      <c r="K3" s="3" t="s">
        <v>28</v>
      </c>
      <c r="L3" s="3" t="s">
        <v>29</v>
      </c>
      <c r="M3" s="3" t="s">
        <v>30</v>
      </c>
    </row>
    <row r="4">
      <c r="A4" s="4" t="s">
        <v>33</v>
      </c>
      <c r="B4" s="4" t="s">
        <v>40</v>
      </c>
      <c r="C4" s="4" t="s">
        <v>41</v>
      </c>
      <c r="D4" s="6">
        <v>4.0</v>
      </c>
      <c r="E4" s="6">
        <v>5.0</v>
      </c>
      <c r="F4" s="4">
        <f t="shared" ref="F4:F15" si="1">D4*E4</f>
        <v>20</v>
      </c>
      <c r="G4" s="4" t="str">
        <f t="shared" ref="G4:G15" si="2">IF(F4&gt;=15,"High",IF(F4&gt;=8,"Medium","Low"))</f>
        <v>High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</row>
    <row r="5">
      <c r="A5" s="4" t="s">
        <v>53</v>
      </c>
      <c r="B5" s="4" t="s">
        <v>54</v>
      </c>
      <c r="C5" s="4" t="s">
        <v>55</v>
      </c>
      <c r="D5" s="6">
        <v>4.0</v>
      </c>
      <c r="E5" s="6">
        <v>4.0</v>
      </c>
      <c r="F5" s="4">
        <f t="shared" si="1"/>
        <v>16</v>
      </c>
      <c r="G5" s="4" t="str">
        <f t="shared" si="2"/>
        <v>High</v>
      </c>
      <c r="H5" s="4" t="s">
        <v>56</v>
      </c>
      <c r="I5" s="4" t="s">
        <v>48</v>
      </c>
      <c r="J5" s="4" t="s">
        <v>57</v>
      </c>
      <c r="K5" s="4" t="s">
        <v>58</v>
      </c>
      <c r="L5" s="4" t="s">
        <v>59</v>
      </c>
      <c r="M5" s="4" t="s">
        <v>52</v>
      </c>
    </row>
    <row r="6">
      <c r="A6" s="4" t="s">
        <v>60</v>
      </c>
      <c r="B6" s="4" t="s">
        <v>61</v>
      </c>
      <c r="C6" s="4" t="s">
        <v>62</v>
      </c>
      <c r="D6" s="6">
        <v>3.0</v>
      </c>
      <c r="E6" s="6">
        <v>5.0</v>
      </c>
      <c r="F6" s="4">
        <f t="shared" si="1"/>
        <v>15</v>
      </c>
      <c r="G6" s="4" t="str">
        <f t="shared" si="2"/>
        <v>High</v>
      </c>
      <c r="H6" s="4" t="s">
        <v>46</v>
      </c>
      <c r="I6" s="4" t="s">
        <v>48</v>
      </c>
      <c r="J6" s="4" t="s">
        <v>63</v>
      </c>
      <c r="K6" s="4" t="s">
        <v>64</v>
      </c>
      <c r="L6" s="4" t="s">
        <v>65</v>
      </c>
      <c r="M6" s="4" t="s">
        <v>66</v>
      </c>
    </row>
    <row r="7">
      <c r="A7" s="4" t="s">
        <v>67</v>
      </c>
      <c r="B7" s="4" t="s">
        <v>68</v>
      </c>
      <c r="C7" s="4" t="s">
        <v>69</v>
      </c>
      <c r="D7" s="6">
        <v>3.0</v>
      </c>
      <c r="E7" s="6">
        <v>5.0</v>
      </c>
      <c r="F7" s="4">
        <f t="shared" si="1"/>
        <v>15</v>
      </c>
      <c r="G7" s="4" t="str">
        <f t="shared" si="2"/>
        <v>High</v>
      </c>
      <c r="H7" s="4" t="s">
        <v>70</v>
      </c>
      <c r="I7" s="4" t="s">
        <v>48</v>
      </c>
      <c r="J7" s="4" t="s">
        <v>71</v>
      </c>
      <c r="K7" s="4" t="s">
        <v>72</v>
      </c>
      <c r="L7" s="4" t="s">
        <v>73</v>
      </c>
      <c r="M7" s="4" t="s">
        <v>52</v>
      </c>
    </row>
    <row r="8">
      <c r="A8" s="4" t="s">
        <v>74</v>
      </c>
      <c r="B8" s="4" t="s">
        <v>75</v>
      </c>
      <c r="C8" s="4" t="s">
        <v>76</v>
      </c>
      <c r="D8" s="6">
        <v>2.0</v>
      </c>
      <c r="E8" s="6">
        <v>5.0</v>
      </c>
      <c r="F8" s="4">
        <f t="shared" si="1"/>
        <v>10</v>
      </c>
      <c r="G8" s="4" t="str">
        <f t="shared" si="2"/>
        <v>Medium</v>
      </c>
      <c r="H8" s="4" t="s">
        <v>77</v>
      </c>
      <c r="I8" s="4" t="s">
        <v>78</v>
      </c>
      <c r="J8" s="4" t="s">
        <v>79</v>
      </c>
      <c r="K8" s="4" t="s">
        <v>80</v>
      </c>
      <c r="L8" s="4" t="s">
        <v>81</v>
      </c>
      <c r="M8" s="4" t="s">
        <v>52</v>
      </c>
    </row>
    <row r="9">
      <c r="A9" s="4" t="s">
        <v>82</v>
      </c>
      <c r="B9" s="4" t="s">
        <v>83</v>
      </c>
      <c r="C9" s="4" t="s">
        <v>84</v>
      </c>
      <c r="D9" s="6">
        <v>3.0</v>
      </c>
      <c r="E9" s="6">
        <v>5.0</v>
      </c>
      <c r="F9" s="4">
        <f t="shared" si="1"/>
        <v>15</v>
      </c>
      <c r="G9" s="4" t="str">
        <f t="shared" si="2"/>
        <v>High</v>
      </c>
      <c r="H9" s="4" t="s">
        <v>46</v>
      </c>
      <c r="I9" s="4" t="s">
        <v>48</v>
      </c>
      <c r="J9" s="4" t="s">
        <v>85</v>
      </c>
      <c r="K9" s="4" t="s">
        <v>86</v>
      </c>
      <c r="L9" s="4" t="s">
        <v>87</v>
      </c>
      <c r="M9" s="4" t="s">
        <v>52</v>
      </c>
    </row>
    <row r="10">
      <c r="A10" s="4" t="s">
        <v>88</v>
      </c>
      <c r="B10" s="4" t="s">
        <v>89</v>
      </c>
      <c r="C10" s="4" t="s">
        <v>90</v>
      </c>
      <c r="D10" s="6">
        <v>3.0</v>
      </c>
      <c r="E10" s="6">
        <v>3.0</v>
      </c>
      <c r="F10" s="4">
        <f t="shared" si="1"/>
        <v>9</v>
      </c>
      <c r="G10" s="4" t="str">
        <f t="shared" si="2"/>
        <v>Medium</v>
      </c>
      <c r="H10" s="4" t="s">
        <v>91</v>
      </c>
      <c r="I10" s="4" t="s">
        <v>48</v>
      </c>
      <c r="J10" s="4" t="s">
        <v>92</v>
      </c>
      <c r="K10" s="4" t="s">
        <v>93</v>
      </c>
      <c r="L10" s="4" t="s">
        <v>94</v>
      </c>
      <c r="M10" s="4" t="s">
        <v>95</v>
      </c>
    </row>
    <row r="11">
      <c r="A11" s="4" t="s">
        <v>96</v>
      </c>
      <c r="B11" s="4" t="s">
        <v>97</v>
      </c>
      <c r="C11" s="4" t="s">
        <v>55</v>
      </c>
      <c r="D11" s="6">
        <v>4.0</v>
      </c>
      <c r="E11" s="6">
        <v>3.0</v>
      </c>
      <c r="F11" s="4">
        <f t="shared" si="1"/>
        <v>12</v>
      </c>
      <c r="G11" s="4" t="str">
        <f t="shared" si="2"/>
        <v>Medium</v>
      </c>
      <c r="H11" s="4" t="s">
        <v>99</v>
      </c>
      <c r="I11" s="4" t="s">
        <v>48</v>
      </c>
      <c r="J11" s="4" t="s">
        <v>100</v>
      </c>
      <c r="K11" s="4" t="s">
        <v>101</v>
      </c>
      <c r="L11" s="4" t="s">
        <v>102</v>
      </c>
      <c r="M11" s="4" t="s">
        <v>52</v>
      </c>
    </row>
    <row r="12">
      <c r="A12" s="4" t="s">
        <v>103</v>
      </c>
      <c r="B12" s="4" t="s">
        <v>105</v>
      </c>
      <c r="C12" s="4" t="s">
        <v>106</v>
      </c>
      <c r="D12" s="6">
        <v>2.0</v>
      </c>
      <c r="E12" s="6">
        <v>3.0</v>
      </c>
      <c r="F12" s="4">
        <f t="shared" si="1"/>
        <v>6</v>
      </c>
      <c r="G12" s="4" t="str">
        <f t="shared" si="2"/>
        <v>Low</v>
      </c>
      <c r="H12" s="4" t="s">
        <v>107</v>
      </c>
      <c r="I12" s="4" t="s">
        <v>108</v>
      </c>
      <c r="J12" s="4" t="s">
        <v>109</v>
      </c>
      <c r="K12" s="4" t="s">
        <v>110</v>
      </c>
      <c r="L12" s="4" t="s">
        <v>111</v>
      </c>
      <c r="M12" s="4" t="s">
        <v>95</v>
      </c>
    </row>
    <row r="13">
      <c r="A13" s="4" t="s">
        <v>112</v>
      </c>
      <c r="B13" s="4" t="s">
        <v>113</v>
      </c>
      <c r="C13" s="4" t="s">
        <v>114</v>
      </c>
      <c r="D13" s="6">
        <v>3.0</v>
      </c>
      <c r="E13" s="6">
        <v>4.0</v>
      </c>
      <c r="F13" s="4">
        <f t="shared" si="1"/>
        <v>12</v>
      </c>
      <c r="G13" s="4" t="str">
        <f t="shared" si="2"/>
        <v>Medium</v>
      </c>
      <c r="H13" s="4" t="s">
        <v>115</v>
      </c>
      <c r="I13" s="4" t="s">
        <v>48</v>
      </c>
      <c r="J13" s="4" t="s">
        <v>116</v>
      </c>
      <c r="K13" s="4" t="s">
        <v>117</v>
      </c>
      <c r="L13" s="4" t="s">
        <v>118</v>
      </c>
      <c r="M13" s="4" t="s">
        <v>52</v>
      </c>
    </row>
    <row r="14">
      <c r="A14" s="4" t="s">
        <v>119</v>
      </c>
      <c r="B14" s="4" t="s">
        <v>120</v>
      </c>
      <c r="C14" s="4" t="s">
        <v>55</v>
      </c>
      <c r="D14" s="6">
        <v>2.0</v>
      </c>
      <c r="E14" s="6">
        <v>4.0</v>
      </c>
      <c r="F14" s="4">
        <f t="shared" si="1"/>
        <v>8</v>
      </c>
      <c r="G14" s="4" t="str">
        <f t="shared" si="2"/>
        <v>Medium</v>
      </c>
      <c r="H14" s="4" t="s">
        <v>46</v>
      </c>
      <c r="I14" s="4" t="s">
        <v>121</v>
      </c>
      <c r="J14" s="4" t="s">
        <v>122</v>
      </c>
      <c r="K14" s="4" t="s">
        <v>123</v>
      </c>
      <c r="L14" s="4" t="s">
        <v>124</v>
      </c>
      <c r="M14" s="4" t="s">
        <v>52</v>
      </c>
    </row>
    <row r="15">
      <c r="A15" s="4" t="s">
        <v>125</v>
      </c>
      <c r="B15" s="4" t="s">
        <v>126</v>
      </c>
      <c r="C15" s="4" t="s">
        <v>69</v>
      </c>
      <c r="D15" s="6">
        <v>2.0</v>
      </c>
      <c r="E15" s="6">
        <v>4.0</v>
      </c>
      <c r="F15" s="4">
        <f t="shared" si="1"/>
        <v>8</v>
      </c>
      <c r="G15" s="4" t="str">
        <f t="shared" si="2"/>
        <v>Medium</v>
      </c>
      <c r="H15" s="4" t="s">
        <v>127</v>
      </c>
      <c r="I15" s="4" t="s">
        <v>48</v>
      </c>
      <c r="J15" s="4" t="s">
        <v>128</v>
      </c>
      <c r="K15" s="4" t="s">
        <v>129</v>
      </c>
      <c r="L15" s="4" t="s">
        <v>130</v>
      </c>
      <c r="M15" s="4" t="s">
        <v>52</v>
      </c>
    </row>
    <row r="17">
      <c r="A17" s="2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:G15">
    <cfRule type="cellIs" dxfId="0" priority="1" operator="equal">
      <formula>"High"</formula>
    </cfRule>
  </conditionalFormatting>
  <conditionalFormatting sqref="G4:G15">
    <cfRule type="cellIs" dxfId="1" priority="2" operator="equal">
      <formula>"Medium"</formula>
    </cfRule>
  </conditionalFormatting>
  <conditionalFormatting sqref="G4:G15">
    <cfRule type="cellIs" dxfId="2" priority="3" operator="equal">
      <formula>"Low"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6" width="12.0"/>
    <col customWidth="1" min="7" max="26" width="8.71"/>
  </cols>
  <sheetData>
    <row r="1">
      <c r="A1" s="1" t="s">
        <v>98</v>
      </c>
    </row>
    <row r="3">
      <c r="A3" s="11" t="s">
        <v>104</v>
      </c>
      <c r="B3" s="13">
        <v>1.0</v>
      </c>
      <c r="C3" s="13">
        <v>2.0</v>
      </c>
      <c r="D3" s="13">
        <v>3.0</v>
      </c>
      <c r="E3" s="13">
        <v>4.0</v>
      </c>
      <c r="F3" s="13">
        <v>5.0</v>
      </c>
    </row>
    <row r="4" ht="39.75" customHeight="1">
      <c r="A4" s="13">
        <v>5.0</v>
      </c>
      <c r="B4" s="14">
        <f>COUNTIFS(Risks!$D$4:$D$15,$A4,Risks!$E$4:$E$15,B$3)</f>
        <v>0</v>
      </c>
      <c r="C4" s="16">
        <f>COUNTIFS(Risks!$D$4:$D$15,$A4,Risks!$E$4:$E$15,C$3)</f>
        <v>0</v>
      </c>
      <c r="D4" s="17">
        <f>COUNTIFS(Risks!$D$4:$D$15,$A4,Risks!$E$4:$E$15,D$3)</f>
        <v>0</v>
      </c>
      <c r="E4" s="17">
        <f>COUNTIFS(Risks!$D$4:$D$15,$A4,Risks!$E$4:$E$15,E$3)</f>
        <v>0</v>
      </c>
      <c r="F4" s="17">
        <f>COUNTIFS(Risks!$D$4:$D$15,$A4,Risks!$E$4:$E$15,F$3)</f>
        <v>0</v>
      </c>
    </row>
    <row r="5" ht="39.75" customHeight="1">
      <c r="A5" s="13">
        <v>4.0</v>
      </c>
      <c r="B5" s="14">
        <f>COUNTIFS(Risks!$D$4:$D$15,$A5,Risks!$E$4:$E$15,B$3)</f>
        <v>0</v>
      </c>
      <c r="C5" s="16">
        <f>COUNTIFS(Risks!$D$4:$D$15,$A5,Risks!$E$4:$E$15,C$3)</f>
        <v>0</v>
      </c>
      <c r="D5" s="16">
        <f>COUNTIFS(Risks!$D$4:$D$15,$A5,Risks!$E$4:$E$15,D$3)</f>
        <v>1</v>
      </c>
      <c r="E5" s="17">
        <f>COUNTIFS(Risks!$D$4:$D$15,$A5,Risks!$E$4:$E$15,E$3)</f>
        <v>1</v>
      </c>
      <c r="F5" s="17">
        <f>COUNTIFS(Risks!$D$4:$D$15,$A5,Risks!$E$4:$E$15,F$3)</f>
        <v>1</v>
      </c>
    </row>
    <row r="6" ht="39.75" customHeight="1">
      <c r="A6" s="13">
        <v>3.0</v>
      </c>
      <c r="B6" s="14">
        <f>COUNTIFS(Risks!$D$4:$D$15,$A6,Risks!$E$4:$E$15,B$3)</f>
        <v>0</v>
      </c>
      <c r="C6" s="14">
        <f>COUNTIFS(Risks!$D$4:$D$15,$A6,Risks!$E$4:$E$15,C$3)</f>
        <v>0</v>
      </c>
      <c r="D6" s="16">
        <f>COUNTIFS(Risks!$D$4:$D$15,$A6,Risks!$E$4:$E$15,D$3)</f>
        <v>1</v>
      </c>
      <c r="E6" s="16">
        <f>COUNTIFS(Risks!$D$4:$D$15,$A6,Risks!$E$4:$E$15,E$3)</f>
        <v>1</v>
      </c>
      <c r="F6" s="17">
        <f>COUNTIFS(Risks!$D$4:$D$15,$A6,Risks!$E$4:$E$15,F$3)</f>
        <v>3</v>
      </c>
    </row>
    <row r="7" ht="39.75" customHeight="1">
      <c r="A7" s="13">
        <v>2.0</v>
      </c>
      <c r="B7" s="14">
        <f>COUNTIFS(Risks!$D$4:$D$15,$A7,Risks!$E$4:$E$15,B$3)</f>
        <v>0</v>
      </c>
      <c r="C7" s="14">
        <f>COUNTIFS(Risks!$D$4:$D$15,$A7,Risks!$E$4:$E$15,C$3)</f>
        <v>0</v>
      </c>
      <c r="D7" s="14">
        <f>COUNTIFS(Risks!$D$4:$D$15,$A7,Risks!$E$4:$E$15,D$3)</f>
        <v>1</v>
      </c>
      <c r="E7" s="16">
        <f>COUNTIFS(Risks!$D$4:$D$15,$A7,Risks!$E$4:$E$15,E$3)</f>
        <v>2</v>
      </c>
      <c r="F7" s="16">
        <f>COUNTIFS(Risks!$D$4:$D$15,$A7,Risks!$E$4:$E$15,F$3)</f>
        <v>1</v>
      </c>
    </row>
    <row r="8" ht="39.75" customHeight="1">
      <c r="A8" s="13">
        <v>1.0</v>
      </c>
      <c r="B8" s="14">
        <f>COUNTIFS(Risks!$D$4:$D$15,$A8,Risks!$E$4:$E$15,B$3)</f>
        <v>0</v>
      </c>
      <c r="C8" s="14">
        <f>COUNTIFS(Risks!$D$4:$D$15,$A8,Risks!$E$4:$E$15,C$3)</f>
        <v>0</v>
      </c>
      <c r="D8" s="14">
        <f>COUNTIFS(Risks!$D$4:$D$15,$A8,Risks!$E$4:$E$15,D$3)</f>
        <v>0</v>
      </c>
      <c r="E8" s="14">
        <f>COUNTIFS(Risks!$D$4:$D$15,$A8,Risks!$E$4:$E$15,E$3)</f>
        <v>0</v>
      </c>
      <c r="F8" s="14">
        <f>COUNTIFS(Risks!$D$4:$D$15,$A8,Risks!$E$4:$E$15,F$3)</f>
        <v>0</v>
      </c>
    </row>
    <row r="10">
      <c r="A10" s="11" t="s">
        <v>158</v>
      </c>
    </row>
    <row r="11">
      <c r="A11" s="2" t="s">
        <v>159</v>
      </c>
      <c r="B11" s="2" t="s">
        <v>33</v>
      </c>
    </row>
    <row r="12">
      <c r="A12" s="2" t="s">
        <v>160</v>
      </c>
      <c r="B12" s="2" t="s">
        <v>53</v>
      </c>
    </row>
    <row r="13">
      <c r="A13" s="2" t="s">
        <v>161</v>
      </c>
      <c r="B13" s="2" t="s">
        <v>162</v>
      </c>
    </row>
    <row r="14">
      <c r="A14" s="2" t="s">
        <v>163</v>
      </c>
      <c r="B14" s="2" t="s">
        <v>96</v>
      </c>
    </row>
    <row r="15">
      <c r="A15" s="2" t="s">
        <v>164</v>
      </c>
      <c r="B15" s="2" t="s">
        <v>112</v>
      </c>
    </row>
    <row r="16">
      <c r="A16" s="2" t="s">
        <v>165</v>
      </c>
      <c r="B16" s="2" t="s">
        <v>74</v>
      </c>
    </row>
    <row r="17">
      <c r="A17" s="2" t="s">
        <v>167</v>
      </c>
      <c r="B17" s="2" t="s">
        <v>88</v>
      </c>
    </row>
    <row r="18">
      <c r="A18" s="2" t="s">
        <v>168</v>
      </c>
      <c r="B18" s="2" t="s">
        <v>169</v>
      </c>
    </row>
    <row r="19">
      <c r="A19" s="2" t="s">
        <v>170</v>
      </c>
      <c r="B19" s="2" t="s">
        <v>103</v>
      </c>
    </row>
    <row r="21" ht="15.75" customHeight="1">
      <c r="A21" s="2" t="s">
        <v>171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3" width="34.0"/>
    <col customWidth="1" min="4" max="5" width="9.0"/>
    <col customWidth="1" min="6" max="7" width="14.0"/>
    <col customWidth="1" min="8" max="8" width="24.0"/>
    <col customWidth="1" min="9" max="9" width="46.0"/>
    <col customWidth="1" min="10" max="26" width="8.71"/>
  </cols>
  <sheetData>
    <row r="1">
      <c r="A1" s="1" t="s">
        <v>188</v>
      </c>
    </row>
    <row r="3" ht="26.25" customHeight="1">
      <c r="A3" s="3" t="s">
        <v>9</v>
      </c>
      <c r="B3" s="3" t="s">
        <v>189</v>
      </c>
      <c r="C3" s="3" t="s">
        <v>190</v>
      </c>
      <c r="D3" s="3" t="s">
        <v>191</v>
      </c>
      <c r="E3" s="3" t="s">
        <v>192</v>
      </c>
      <c r="F3" s="3" t="s">
        <v>193</v>
      </c>
      <c r="G3" s="3" t="s">
        <v>194</v>
      </c>
      <c r="H3" s="3" t="s">
        <v>195</v>
      </c>
      <c r="I3" s="3" t="s">
        <v>196</v>
      </c>
    </row>
    <row r="4">
      <c r="A4" s="4" t="s">
        <v>197</v>
      </c>
      <c r="B4" s="4" t="s">
        <v>198</v>
      </c>
      <c r="C4" s="4" t="s">
        <v>199</v>
      </c>
      <c r="D4" s="4" t="s">
        <v>200</v>
      </c>
      <c r="E4" s="4" t="s">
        <v>200</v>
      </c>
      <c r="F4" s="4" t="s">
        <v>201</v>
      </c>
      <c r="G4" s="4" t="s">
        <v>202</v>
      </c>
      <c r="H4" s="4" t="s">
        <v>203</v>
      </c>
      <c r="I4" s="4" t="s">
        <v>204</v>
      </c>
    </row>
    <row r="5">
      <c r="A5" s="4" t="s">
        <v>205</v>
      </c>
      <c r="B5" s="4" t="s">
        <v>206</v>
      </c>
      <c r="C5" s="4" t="s">
        <v>207</v>
      </c>
      <c r="D5" s="4" t="s">
        <v>200</v>
      </c>
      <c r="E5" s="4" t="s">
        <v>200</v>
      </c>
      <c r="F5" s="4" t="s">
        <v>201</v>
      </c>
      <c r="G5" s="4" t="s">
        <v>202</v>
      </c>
      <c r="H5" s="4" t="s">
        <v>203</v>
      </c>
      <c r="I5" s="4" t="s">
        <v>208</v>
      </c>
    </row>
    <row r="6">
      <c r="A6" s="4" t="s">
        <v>209</v>
      </c>
      <c r="B6" s="4" t="s">
        <v>210</v>
      </c>
      <c r="C6" s="4" t="s">
        <v>211</v>
      </c>
      <c r="D6" s="4" t="s">
        <v>212</v>
      </c>
      <c r="E6" s="4" t="s">
        <v>200</v>
      </c>
      <c r="F6" s="4" t="s">
        <v>213</v>
      </c>
      <c r="G6" s="4" t="s">
        <v>201</v>
      </c>
      <c r="H6" s="4" t="s">
        <v>214</v>
      </c>
      <c r="I6" s="4" t="s">
        <v>215</v>
      </c>
    </row>
    <row r="7">
      <c r="A7" s="4" t="s">
        <v>216</v>
      </c>
      <c r="B7" s="4" t="s">
        <v>217</v>
      </c>
      <c r="C7" s="4" t="s">
        <v>218</v>
      </c>
      <c r="D7" s="4" t="s">
        <v>212</v>
      </c>
      <c r="E7" s="4" t="s">
        <v>200</v>
      </c>
      <c r="F7" s="4" t="s">
        <v>219</v>
      </c>
      <c r="G7" s="4" t="s">
        <v>201</v>
      </c>
      <c r="H7" s="4" t="s">
        <v>203</v>
      </c>
      <c r="I7" s="4" t="s">
        <v>220</v>
      </c>
    </row>
    <row r="8">
      <c r="A8" s="4" t="s">
        <v>221</v>
      </c>
      <c r="B8" s="4" t="s">
        <v>222</v>
      </c>
      <c r="C8" s="4" t="s">
        <v>223</v>
      </c>
      <c r="D8" s="4" t="s">
        <v>212</v>
      </c>
      <c r="E8" s="4" t="s">
        <v>200</v>
      </c>
      <c r="F8" s="4" t="s">
        <v>219</v>
      </c>
      <c r="G8" s="4" t="s">
        <v>201</v>
      </c>
      <c r="H8" s="4" t="s">
        <v>224</v>
      </c>
      <c r="I8" s="4" t="s">
        <v>225</v>
      </c>
    </row>
    <row r="9">
      <c r="A9" s="4" t="s">
        <v>226</v>
      </c>
      <c r="B9" s="4" t="s">
        <v>127</v>
      </c>
      <c r="C9" s="4" t="s">
        <v>227</v>
      </c>
      <c r="D9" s="4" t="s">
        <v>200</v>
      </c>
      <c r="E9" s="4" t="s">
        <v>212</v>
      </c>
      <c r="F9" s="4" t="s">
        <v>201</v>
      </c>
      <c r="G9" s="4" t="s">
        <v>201</v>
      </c>
      <c r="H9" s="4" t="s">
        <v>228</v>
      </c>
      <c r="I9" s="4" t="s">
        <v>230</v>
      </c>
    </row>
    <row r="10">
      <c r="A10" s="4" t="s">
        <v>231</v>
      </c>
      <c r="B10" s="4" t="s">
        <v>232</v>
      </c>
      <c r="C10" s="4" t="s">
        <v>233</v>
      </c>
      <c r="D10" s="4" t="s">
        <v>200</v>
      </c>
      <c r="E10" s="4" t="s">
        <v>212</v>
      </c>
      <c r="F10" s="4" t="s">
        <v>201</v>
      </c>
      <c r="G10" s="4" t="s">
        <v>201</v>
      </c>
      <c r="H10" s="4" t="s">
        <v>228</v>
      </c>
      <c r="I10" s="4" t="s">
        <v>234</v>
      </c>
    </row>
    <row r="11">
      <c r="A11" s="4" t="s">
        <v>236</v>
      </c>
      <c r="B11" s="4" t="s">
        <v>237</v>
      </c>
      <c r="C11" s="4" t="s">
        <v>238</v>
      </c>
      <c r="D11" s="4" t="s">
        <v>200</v>
      </c>
      <c r="E11" s="4" t="s">
        <v>240</v>
      </c>
      <c r="F11" s="4" t="s">
        <v>241</v>
      </c>
      <c r="G11" s="4" t="s">
        <v>219</v>
      </c>
      <c r="H11" s="4" t="s">
        <v>228</v>
      </c>
      <c r="I11" s="4" t="s">
        <v>244</v>
      </c>
    </row>
    <row r="12">
      <c r="A12" s="4" t="s">
        <v>246</v>
      </c>
      <c r="B12" s="4" t="s">
        <v>247</v>
      </c>
      <c r="C12" s="4" t="s">
        <v>248</v>
      </c>
      <c r="D12" s="4" t="s">
        <v>240</v>
      </c>
      <c r="E12" s="4" t="s">
        <v>200</v>
      </c>
      <c r="F12" s="4" t="s">
        <v>241</v>
      </c>
      <c r="G12" s="4" t="s">
        <v>219</v>
      </c>
      <c r="H12" s="4" t="s">
        <v>224</v>
      </c>
      <c r="I12" s="4" t="s">
        <v>250</v>
      </c>
    </row>
    <row r="13">
      <c r="A13" s="4" t="s">
        <v>252</v>
      </c>
      <c r="B13" s="4" t="s">
        <v>254</v>
      </c>
      <c r="C13" s="4" t="s">
        <v>255</v>
      </c>
      <c r="D13" s="4" t="s">
        <v>200</v>
      </c>
      <c r="E13" s="4" t="s">
        <v>240</v>
      </c>
      <c r="F13" s="4" t="s">
        <v>219</v>
      </c>
      <c r="G13" s="4" t="s">
        <v>201</v>
      </c>
      <c r="H13" s="4" t="s">
        <v>228</v>
      </c>
      <c r="I13" s="4" t="s">
        <v>258</v>
      </c>
    </row>
    <row r="14">
      <c r="A14" s="4" t="s">
        <v>259</v>
      </c>
      <c r="B14" s="4" t="s">
        <v>260</v>
      </c>
      <c r="C14" s="4" t="s">
        <v>262</v>
      </c>
      <c r="D14" s="4" t="s">
        <v>212</v>
      </c>
      <c r="E14" s="4" t="s">
        <v>212</v>
      </c>
      <c r="F14" s="4" t="s">
        <v>219</v>
      </c>
      <c r="G14" s="4" t="s">
        <v>201</v>
      </c>
      <c r="H14" s="4" t="s">
        <v>224</v>
      </c>
      <c r="I14" s="4" t="s">
        <v>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34.0"/>
    <col customWidth="1" min="3" max="3" width="44.0"/>
    <col customWidth="1" min="4" max="4" width="20.0"/>
    <col customWidth="1" min="5" max="6" width="22.0"/>
    <col customWidth="1" min="7" max="26" width="8.71"/>
  </cols>
  <sheetData>
    <row r="1">
      <c r="A1" s="1" t="s">
        <v>229</v>
      </c>
    </row>
    <row r="3">
      <c r="A3" s="3" t="s">
        <v>235</v>
      </c>
      <c r="B3" s="3" t="s">
        <v>239</v>
      </c>
      <c r="C3" s="3" t="s">
        <v>242</v>
      </c>
      <c r="D3" s="3" t="s">
        <v>243</v>
      </c>
      <c r="E3" s="3" t="s">
        <v>245</v>
      </c>
      <c r="F3" s="3" t="s">
        <v>23</v>
      </c>
    </row>
    <row r="4">
      <c r="A4" s="4" t="s">
        <v>249</v>
      </c>
      <c r="B4" s="4" t="s">
        <v>251</v>
      </c>
      <c r="C4" s="4" t="s">
        <v>253</v>
      </c>
      <c r="D4" s="4" t="s">
        <v>256</v>
      </c>
      <c r="E4" s="4" t="s">
        <v>257</v>
      </c>
      <c r="F4" s="4" t="s">
        <v>46</v>
      </c>
    </row>
    <row r="5">
      <c r="A5" s="4" t="s">
        <v>261</v>
      </c>
      <c r="B5" s="4" t="s">
        <v>263</v>
      </c>
      <c r="C5" s="4" t="s">
        <v>264</v>
      </c>
      <c r="D5" s="4" t="s">
        <v>266</v>
      </c>
      <c r="E5" s="4" t="s">
        <v>267</v>
      </c>
      <c r="F5" s="4" t="s">
        <v>56</v>
      </c>
    </row>
    <row r="6">
      <c r="A6" s="4" t="s">
        <v>268</v>
      </c>
      <c r="B6" s="4" t="s">
        <v>269</v>
      </c>
      <c r="C6" s="4" t="s">
        <v>270</v>
      </c>
      <c r="D6" s="4" t="s">
        <v>271</v>
      </c>
      <c r="E6" s="4" t="s">
        <v>272</v>
      </c>
      <c r="F6" s="4" t="s">
        <v>46</v>
      </c>
    </row>
    <row r="7">
      <c r="A7" s="4" t="s">
        <v>273</v>
      </c>
      <c r="B7" s="4" t="s">
        <v>274</v>
      </c>
      <c r="C7" s="4" t="s">
        <v>275</v>
      </c>
      <c r="D7" s="4" t="s">
        <v>276</v>
      </c>
      <c r="E7" s="4" t="s">
        <v>277</v>
      </c>
      <c r="F7" s="4" t="s">
        <v>46</v>
      </c>
    </row>
    <row r="8">
      <c r="A8" s="4" t="s">
        <v>278</v>
      </c>
      <c r="B8" s="4" t="s">
        <v>279</v>
      </c>
      <c r="C8" s="4" t="s">
        <v>280</v>
      </c>
      <c r="D8" s="4" t="s">
        <v>281</v>
      </c>
      <c r="E8" s="4" t="s">
        <v>267</v>
      </c>
      <c r="F8" s="4" t="s">
        <v>99</v>
      </c>
    </row>
    <row r="9">
      <c r="A9" s="4" t="s">
        <v>282</v>
      </c>
      <c r="B9" s="4" t="s">
        <v>283</v>
      </c>
      <c r="C9" s="4" t="s">
        <v>284</v>
      </c>
      <c r="D9" s="4" t="s">
        <v>285</v>
      </c>
      <c r="E9" s="4" t="s">
        <v>286</v>
      </c>
      <c r="F9" s="4" t="s">
        <v>287</v>
      </c>
    </row>
    <row r="10">
      <c r="A10" s="4" t="s">
        <v>288</v>
      </c>
      <c r="B10" s="4" t="s">
        <v>232</v>
      </c>
      <c r="C10" s="4" t="s">
        <v>289</v>
      </c>
      <c r="D10" s="4" t="s">
        <v>276</v>
      </c>
      <c r="E10" s="4" t="s">
        <v>290</v>
      </c>
      <c r="F10" s="4" t="s">
        <v>46</v>
      </c>
    </row>
    <row r="11">
      <c r="A11" s="4" t="s">
        <v>291</v>
      </c>
      <c r="B11" s="4" t="s">
        <v>237</v>
      </c>
      <c r="C11" s="4" t="s">
        <v>292</v>
      </c>
      <c r="D11" s="4" t="s">
        <v>293</v>
      </c>
      <c r="E11" s="4" t="s">
        <v>294</v>
      </c>
      <c r="F11" s="4" t="s">
        <v>77</v>
      </c>
    </row>
    <row r="12">
      <c r="A12" s="4" t="s">
        <v>295</v>
      </c>
      <c r="B12" s="4" t="s">
        <v>247</v>
      </c>
      <c r="C12" s="4" t="s">
        <v>296</v>
      </c>
      <c r="D12" s="4" t="s">
        <v>297</v>
      </c>
      <c r="E12" s="4" t="s">
        <v>298</v>
      </c>
      <c r="F12" s="4" t="s">
        <v>299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44.0"/>
    <col customWidth="1" min="6" max="6" width="12.0"/>
    <col customWidth="1" min="7" max="7" width="24.0"/>
    <col customWidth="1" min="8" max="26" width="8.71"/>
  </cols>
  <sheetData>
    <row r="1">
      <c r="A1" s="1" t="s">
        <v>313</v>
      </c>
    </row>
    <row r="3">
      <c r="A3" s="3" t="s">
        <v>9</v>
      </c>
      <c r="B3" s="3" t="s">
        <v>314</v>
      </c>
      <c r="C3" s="3" t="s">
        <v>315</v>
      </c>
      <c r="D3" s="3" t="s">
        <v>316</v>
      </c>
      <c r="E3" s="3" t="s">
        <v>317</v>
      </c>
      <c r="F3" s="3" t="s">
        <v>28</v>
      </c>
      <c r="G3" s="3" t="s">
        <v>23</v>
      </c>
    </row>
    <row r="4">
      <c r="A4" s="4" t="s">
        <v>320</v>
      </c>
      <c r="B4" s="4" t="s">
        <v>322</v>
      </c>
      <c r="C4" s="4" t="s">
        <v>323</v>
      </c>
      <c r="D4" s="4" t="s">
        <v>324</v>
      </c>
      <c r="E4" s="4" t="s">
        <v>326</v>
      </c>
      <c r="F4" s="4" t="s">
        <v>327</v>
      </c>
      <c r="G4" s="4" t="s">
        <v>47</v>
      </c>
    </row>
    <row r="5">
      <c r="A5" s="4" t="s">
        <v>330</v>
      </c>
      <c r="B5" s="4" t="s">
        <v>332</v>
      </c>
      <c r="C5" s="4" t="s">
        <v>334</v>
      </c>
      <c r="D5" s="4" t="s">
        <v>336</v>
      </c>
      <c r="E5" s="4" t="s">
        <v>338</v>
      </c>
      <c r="F5" s="4" t="s">
        <v>340</v>
      </c>
      <c r="G5" s="4" t="s">
        <v>146</v>
      </c>
    </row>
    <row r="6">
      <c r="A6" s="4" t="s">
        <v>344</v>
      </c>
      <c r="B6" s="4" t="s">
        <v>346</v>
      </c>
      <c r="C6" s="4" t="s">
        <v>348</v>
      </c>
      <c r="D6" s="4" t="s">
        <v>350</v>
      </c>
      <c r="E6" s="4" t="s">
        <v>352</v>
      </c>
      <c r="F6" s="4" t="s">
        <v>154</v>
      </c>
      <c r="G6" s="4" t="s">
        <v>56</v>
      </c>
    </row>
    <row r="7">
      <c r="A7" s="4" t="s">
        <v>355</v>
      </c>
      <c r="B7" s="4" t="s">
        <v>357</v>
      </c>
      <c r="C7" s="4" t="s">
        <v>358</v>
      </c>
      <c r="D7" s="4" t="s">
        <v>350</v>
      </c>
      <c r="E7" s="4" t="s">
        <v>361</v>
      </c>
      <c r="F7" s="4" t="s">
        <v>101</v>
      </c>
      <c r="G7" s="4" t="s">
        <v>99</v>
      </c>
    </row>
    <row r="8">
      <c r="A8" s="4" t="s">
        <v>365</v>
      </c>
      <c r="B8" s="4" t="s">
        <v>367</v>
      </c>
      <c r="C8" s="4" t="s">
        <v>368</v>
      </c>
      <c r="D8" s="4" t="s">
        <v>370</v>
      </c>
      <c r="E8" s="4" t="s">
        <v>372</v>
      </c>
      <c r="F8" s="4" t="s">
        <v>178</v>
      </c>
      <c r="G8" s="4" t="s">
        <v>127</v>
      </c>
    </row>
    <row r="9">
      <c r="A9" s="4" t="s">
        <v>376</v>
      </c>
      <c r="B9" s="4" t="s">
        <v>377</v>
      </c>
      <c r="C9" s="4" t="s">
        <v>379</v>
      </c>
      <c r="D9" s="4" t="s">
        <v>380</v>
      </c>
      <c r="E9" s="4" t="s">
        <v>381</v>
      </c>
      <c r="F9" s="4" t="s">
        <v>382</v>
      </c>
      <c r="G9" s="4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18.0"/>
    <col customWidth="1" min="4" max="4" width="44.0"/>
    <col customWidth="1" min="5" max="5" width="46.0"/>
    <col customWidth="1" min="6" max="6" width="24.0"/>
    <col customWidth="1" min="7" max="7" width="26.0"/>
    <col customWidth="1" min="8" max="8" width="20.0"/>
    <col customWidth="1" min="9" max="26" width="8.71"/>
  </cols>
  <sheetData>
    <row r="1">
      <c r="A1" s="1" t="s">
        <v>321</v>
      </c>
    </row>
    <row r="3">
      <c r="A3" s="3" t="s">
        <v>325</v>
      </c>
      <c r="B3" s="3" t="s">
        <v>328</v>
      </c>
      <c r="C3" s="3" t="s">
        <v>329</v>
      </c>
      <c r="D3" s="3" t="s">
        <v>331</v>
      </c>
      <c r="E3" s="3" t="s">
        <v>333</v>
      </c>
      <c r="F3" s="3" t="s">
        <v>335</v>
      </c>
      <c r="G3" s="3" t="s">
        <v>337</v>
      </c>
      <c r="H3" s="3" t="s">
        <v>339</v>
      </c>
    </row>
    <row r="4">
      <c r="A4" s="4" t="s">
        <v>341</v>
      </c>
      <c r="B4" s="4" t="s">
        <v>342</v>
      </c>
      <c r="C4" s="4" t="s">
        <v>343</v>
      </c>
      <c r="D4" s="4" t="s">
        <v>345</v>
      </c>
      <c r="E4" s="4" t="s">
        <v>347</v>
      </c>
      <c r="F4" s="4" t="s">
        <v>349</v>
      </c>
      <c r="G4" s="4" t="s">
        <v>351</v>
      </c>
      <c r="H4" s="4" t="s">
        <v>353</v>
      </c>
    </row>
    <row r="5">
      <c r="A5" s="4" t="s">
        <v>354</v>
      </c>
      <c r="B5" s="4" t="s">
        <v>356</v>
      </c>
      <c r="C5" s="4" t="s">
        <v>46</v>
      </c>
      <c r="D5" s="4" t="s">
        <v>360</v>
      </c>
      <c r="E5" s="4" t="s">
        <v>362</v>
      </c>
      <c r="F5" s="4" t="s">
        <v>364</v>
      </c>
      <c r="G5" s="4" t="s">
        <v>351</v>
      </c>
      <c r="H5" s="4" t="s">
        <v>366</v>
      </c>
    </row>
    <row r="6">
      <c r="A6" s="4" t="s">
        <v>369</v>
      </c>
      <c r="B6" s="4" t="s">
        <v>371</v>
      </c>
      <c r="C6" s="4" t="s">
        <v>373</v>
      </c>
      <c r="D6" s="4" t="s">
        <v>374</v>
      </c>
      <c r="E6" s="4" t="s">
        <v>375</v>
      </c>
      <c r="F6" s="4" t="s">
        <v>200</v>
      </c>
      <c r="G6" s="4" t="s">
        <v>378</v>
      </c>
      <c r="H6" s="4" t="s">
        <v>366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10" width="14.0"/>
    <col customWidth="1" min="11" max="26" width="8.71"/>
  </cols>
  <sheetData>
    <row r="1">
      <c r="A1" s="1" t="s">
        <v>387</v>
      </c>
    </row>
    <row r="3">
      <c r="A3" s="3" t="s">
        <v>388</v>
      </c>
      <c r="B3" s="3" t="s">
        <v>389</v>
      </c>
      <c r="C3" s="3" t="s">
        <v>343</v>
      </c>
      <c r="D3" s="3" t="s">
        <v>46</v>
      </c>
      <c r="E3" s="3" t="s">
        <v>91</v>
      </c>
      <c r="F3" s="3" t="s">
        <v>56</v>
      </c>
      <c r="G3" s="3" t="s">
        <v>232</v>
      </c>
      <c r="H3" s="3" t="s">
        <v>392</v>
      </c>
      <c r="I3" s="3" t="s">
        <v>77</v>
      </c>
      <c r="J3" s="3" t="s">
        <v>99</v>
      </c>
    </row>
    <row r="4">
      <c r="A4" s="4" t="s">
        <v>393</v>
      </c>
      <c r="B4" s="4" t="s">
        <v>394</v>
      </c>
      <c r="C4" s="4" t="s">
        <v>395</v>
      </c>
      <c r="D4" s="4" t="s">
        <v>396</v>
      </c>
      <c r="E4" s="4" t="s">
        <v>395</v>
      </c>
      <c r="F4" s="4" t="s">
        <v>395</v>
      </c>
      <c r="G4" s="4" t="s">
        <v>397</v>
      </c>
      <c r="H4" s="4" t="s">
        <v>397</v>
      </c>
      <c r="I4" s="4" t="s">
        <v>397</v>
      </c>
      <c r="J4" s="4" t="s">
        <v>397</v>
      </c>
    </row>
    <row r="5">
      <c r="A5" s="4" t="s">
        <v>139</v>
      </c>
      <c r="B5" s="4" t="s">
        <v>397</v>
      </c>
      <c r="C5" s="4" t="s">
        <v>394</v>
      </c>
      <c r="D5" s="4" t="s">
        <v>395</v>
      </c>
      <c r="E5" s="4" t="s">
        <v>396</v>
      </c>
      <c r="F5" s="4" t="s">
        <v>396</v>
      </c>
      <c r="G5" s="4" t="s">
        <v>395</v>
      </c>
      <c r="H5" s="4" t="s">
        <v>395</v>
      </c>
      <c r="I5" s="4" t="s">
        <v>395</v>
      </c>
      <c r="J5" s="4" t="s">
        <v>397</v>
      </c>
    </row>
    <row r="6">
      <c r="A6" s="4" t="s">
        <v>398</v>
      </c>
      <c r="B6" s="4" t="s">
        <v>394</v>
      </c>
      <c r="C6" s="4" t="s">
        <v>395</v>
      </c>
      <c r="D6" s="4" t="s">
        <v>396</v>
      </c>
      <c r="E6" s="4" t="s">
        <v>396</v>
      </c>
      <c r="F6" s="4" t="s">
        <v>395</v>
      </c>
      <c r="G6" s="4" t="s">
        <v>397</v>
      </c>
      <c r="H6" s="4" t="s">
        <v>395</v>
      </c>
      <c r="I6" s="4" t="s">
        <v>395</v>
      </c>
      <c r="J6" s="4" t="s">
        <v>397</v>
      </c>
    </row>
    <row r="7">
      <c r="A7" s="4" t="s">
        <v>401</v>
      </c>
      <c r="B7" s="4" t="s">
        <v>397</v>
      </c>
      <c r="C7" s="4" t="s">
        <v>394</v>
      </c>
      <c r="D7" s="4" t="s">
        <v>395</v>
      </c>
      <c r="E7" s="4" t="s">
        <v>395</v>
      </c>
      <c r="F7" s="4" t="s">
        <v>396</v>
      </c>
      <c r="G7" s="4" t="s">
        <v>396</v>
      </c>
      <c r="H7" s="4" t="s">
        <v>397</v>
      </c>
      <c r="I7" s="4" t="s">
        <v>395</v>
      </c>
      <c r="J7" s="4" t="s">
        <v>397</v>
      </c>
    </row>
    <row r="8">
      <c r="A8" s="4" t="s">
        <v>402</v>
      </c>
      <c r="B8" s="4" t="s">
        <v>397</v>
      </c>
      <c r="C8" s="4" t="s">
        <v>395</v>
      </c>
      <c r="D8" s="4" t="s">
        <v>394</v>
      </c>
      <c r="E8" s="4" t="s">
        <v>395</v>
      </c>
      <c r="F8" s="4" t="s">
        <v>395</v>
      </c>
      <c r="G8" s="4" t="s">
        <v>396</v>
      </c>
      <c r="H8" s="4" t="s">
        <v>396</v>
      </c>
      <c r="I8" s="4" t="s">
        <v>395</v>
      </c>
      <c r="J8" s="4" t="s">
        <v>397</v>
      </c>
    </row>
    <row r="9">
      <c r="A9" s="4" t="s">
        <v>403</v>
      </c>
      <c r="B9" s="4" t="s">
        <v>397</v>
      </c>
      <c r="C9" s="4" t="s">
        <v>395</v>
      </c>
      <c r="D9" s="4" t="s">
        <v>394</v>
      </c>
      <c r="E9" s="4" t="s">
        <v>396</v>
      </c>
      <c r="F9" s="4" t="s">
        <v>395</v>
      </c>
      <c r="G9" s="4" t="s">
        <v>396</v>
      </c>
      <c r="H9" s="4" t="s">
        <v>395</v>
      </c>
      <c r="I9" s="4" t="s">
        <v>395</v>
      </c>
      <c r="J9" s="4" t="s">
        <v>397</v>
      </c>
    </row>
    <row r="10">
      <c r="A10" s="4" t="s">
        <v>145</v>
      </c>
      <c r="B10" s="4" t="s">
        <v>397</v>
      </c>
      <c r="C10" s="4" t="s">
        <v>395</v>
      </c>
      <c r="D10" s="4" t="s">
        <v>394</v>
      </c>
      <c r="E10" s="4" t="s">
        <v>397</v>
      </c>
      <c r="F10" s="4" t="s">
        <v>397</v>
      </c>
      <c r="G10" s="4" t="s">
        <v>395</v>
      </c>
      <c r="H10" s="4" t="s">
        <v>395</v>
      </c>
      <c r="I10" s="4" t="s">
        <v>396</v>
      </c>
      <c r="J10" s="4" t="s">
        <v>397</v>
      </c>
    </row>
    <row r="11">
      <c r="A11" s="4" t="s">
        <v>407</v>
      </c>
      <c r="B11" s="4" t="s">
        <v>397</v>
      </c>
      <c r="C11" s="4" t="s">
        <v>394</v>
      </c>
      <c r="D11" s="4" t="s">
        <v>395</v>
      </c>
      <c r="E11" s="4" t="s">
        <v>395</v>
      </c>
      <c r="F11" s="4" t="s">
        <v>396</v>
      </c>
      <c r="G11" s="4" t="s">
        <v>396</v>
      </c>
      <c r="H11" s="4" t="s">
        <v>395</v>
      </c>
      <c r="I11" s="4" t="s">
        <v>395</v>
      </c>
      <c r="J11" s="4" t="s">
        <v>397</v>
      </c>
    </row>
    <row r="12">
      <c r="A12" s="4" t="s">
        <v>409</v>
      </c>
      <c r="B12" s="4" t="s">
        <v>397</v>
      </c>
      <c r="C12" s="4" t="s">
        <v>395</v>
      </c>
      <c r="D12" s="4" t="s">
        <v>394</v>
      </c>
      <c r="E12" s="4" t="s">
        <v>397</v>
      </c>
      <c r="F12" s="4" t="s">
        <v>395</v>
      </c>
      <c r="G12" s="4" t="s">
        <v>395</v>
      </c>
      <c r="H12" s="4" t="s">
        <v>397</v>
      </c>
      <c r="I12" s="4" t="s">
        <v>397</v>
      </c>
      <c r="J12" s="4" t="s">
        <v>396</v>
      </c>
    </row>
    <row r="13">
      <c r="A13" s="4" t="s">
        <v>410</v>
      </c>
      <c r="B13" s="4" t="s">
        <v>394</v>
      </c>
      <c r="C13" s="4" t="s">
        <v>396</v>
      </c>
      <c r="D13" s="4" t="s">
        <v>396</v>
      </c>
      <c r="E13" s="4" t="s">
        <v>397</v>
      </c>
      <c r="F13" s="4" t="s">
        <v>395</v>
      </c>
      <c r="G13" s="4" t="s">
        <v>395</v>
      </c>
      <c r="H13" s="4" t="s">
        <v>395</v>
      </c>
      <c r="I13" s="4" t="s">
        <v>395</v>
      </c>
      <c r="J13" s="4" t="s">
        <v>397</v>
      </c>
    </row>
    <row r="14">
      <c r="A14" s="4" t="s">
        <v>411</v>
      </c>
      <c r="B14" s="4" t="s">
        <v>394</v>
      </c>
      <c r="C14" s="4" t="s">
        <v>395</v>
      </c>
      <c r="D14" s="4" t="s">
        <v>396</v>
      </c>
      <c r="E14" s="4" t="s">
        <v>395</v>
      </c>
      <c r="F14" s="4" t="s">
        <v>395</v>
      </c>
      <c r="G14" s="4" t="s">
        <v>397</v>
      </c>
      <c r="H14" s="4" t="s">
        <v>395</v>
      </c>
      <c r="I14" s="4" t="s">
        <v>397</v>
      </c>
      <c r="J14" s="4" t="s">
        <v>397</v>
      </c>
    </row>
    <row r="16">
      <c r="A16" s="2" t="s">
        <v>412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44.0"/>
    <col customWidth="1" min="4" max="4" width="10.0"/>
    <col customWidth="1" min="5" max="5" width="36.0"/>
    <col customWidth="1" min="6" max="6" width="20.0"/>
    <col customWidth="1" min="7" max="7" width="46.0"/>
    <col customWidth="1" min="8" max="8" width="34.0"/>
    <col customWidth="1" min="9" max="26" width="8.71"/>
  </cols>
  <sheetData>
    <row r="1">
      <c r="A1" s="1" t="s">
        <v>419</v>
      </c>
    </row>
    <row r="3">
      <c r="A3" s="3" t="s">
        <v>9</v>
      </c>
      <c r="B3" s="3" t="s">
        <v>328</v>
      </c>
      <c r="C3" s="3" t="s">
        <v>420</v>
      </c>
      <c r="D3" s="3" t="s">
        <v>421</v>
      </c>
      <c r="E3" s="3" t="s">
        <v>422</v>
      </c>
      <c r="F3" s="3" t="s">
        <v>23</v>
      </c>
      <c r="G3" s="3" t="s">
        <v>423</v>
      </c>
      <c r="H3" s="3" t="s">
        <v>30</v>
      </c>
    </row>
    <row r="4">
      <c r="A4" s="4" t="s">
        <v>424</v>
      </c>
      <c r="B4" s="4" t="s">
        <v>425</v>
      </c>
      <c r="C4" s="4" t="s">
        <v>426</v>
      </c>
      <c r="D4" s="4" t="s">
        <v>200</v>
      </c>
      <c r="E4" s="4" t="s">
        <v>427</v>
      </c>
      <c r="F4" s="4" t="s">
        <v>46</v>
      </c>
      <c r="G4" s="4" t="s">
        <v>428</v>
      </c>
      <c r="H4" s="4" t="s">
        <v>429</v>
      </c>
    </row>
    <row r="5">
      <c r="A5" s="4" t="s">
        <v>430</v>
      </c>
      <c r="B5" s="4" t="s">
        <v>431</v>
      </c>
      <c r="C5" s="4" t="s">
        <v>432</v>
      </c>
      <c r="D5" s="4" t="s">
        <v>212</v>
      </c>
      <c r="E5" s="4" t="s">
        <v>433</v>
      </c>
      <c r="F5" s="4" t="s">
        <v>70</v>
      </c>
      <c r="G5" s="4" t="s">
        <v>434</v>
      </c>
      <c r="H5" s="4" t="s">
        <v>435</v>
      </c>
    </row>
    <row r="6">
      <c r="A6" s="4" t="s">
        <v>436</v>
      </c>
      <c r="B6" s="4" t="s">
        <v>437</v>
      </c>
      <c r="C6" s="4" t="s">
        <v>438</v>
      </c>
      <c r="D6" s="4" t="s">
        <v>240</v>
      </c>
      <c r="E6" s="4" t="s">
        <v>439</v>
      </c>
      <c r="F6" s="4" t="s">
        <v>99</v>
      </c>
      <c r="G6" s="4" t="s">
        <v>440</v>
      </c>
      <c r="H6" s="4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2.0"/>
    <col customWidth="1" min="2" max="2" width="26.0"/>
    <col customWidth="1" min="3" max="3" width="14.0"/>
    <col customWidth="1" min="4" max="26" width="8.71"/>
  </cols>
  <sheetData>
    <row r="1">
      <c r="A1" s="1" t="s">
        <v>441</v>
      </c>
    </row>
    <row r="3">
      <c r="A3" s="3" t="s">
        <v>442</v>
      </c>
      <c r="B3" s="3" t="s">
        <v>23</v>
      </c>
      <c r="C3" s="3" t="s">
        <v>30</v>
      </c>
    </row>
    <row r="4">
      <c r="A4" s="4" t="s">
        <v>443</v>
      </c>
      <c r="B4" s="4" t="s">
        <v>389</v>
      </c>
      <c r="C4" s="4" t="s">
        <v>444</v>
      </c>
    </row>
    <row r="5">
      <c r="A5" s="4" t="s">
        <v>445</v>
      </c>
      <c r="B5" s="4" t="s">
        <v>46</v>
      </c>
      <c r="C5" s="4" t="s">
        <v>444</v>
      </c>
    </row>
    <row r="6">
      <c r="A6" s="4" t="s">
        <v>446</v>
      </c>
      <c r="B6" s="4" t="s">
        <v>127</v>
      </c>
      <c r="C6" s="4" t="s">
        <v>444</v>
      </c>
    </row>
    <row r="7">
      <c r="A7" s="4" t="s">
        <v>447</v>
      </c>
      <c r="B7" s="4" t="s">
        <v>127</v>
      </c>
      <c r="C7" s="4" t="s">
        <v>444</v>
      </c>
    </row>
    <row r="8">
      <c r="A8" s="4" t="s">
        <v>448</v>
      </c>
      <c r="B8" s="4" t="s">
        <v>127</v>
      </c>
      <c r="C8" s="4" t="s">
        <v>444</v>
      </c>
    </row>
    <row r="9">
      <c r="A9" s="4" t="s">
        <v>449</v>
      </c>
      <c r="B9" s="4" t="s">
        <v>254</v>
      </c>
      <c r="C9" s="4" t="s">
        <v>444</v>
      </c>
    </row>
    <row r="10">
      <c r="A10" s="4" t="s">
        <v>450</v>
      </c>
      <c r="B10" s="4" t="s">
        <v>46</v>
      </c>
      <c r="C10" s="4" t="s">
        <v>444</v>
      </c>
    </row>
    <row r="11">
      <c r="A11" s="4" t="s">
        <v>451</v>
      </c>
      <c r="B11" s="4" t="s">
        <v>46</v>
      </c>
      <c r="C11" s="4" t="s">
        <v>444</v>
      </c>
    </row>
    <row r="12">
      <c r="A12" s="4" t="s">
        <v>452</v>
      </c>
      <c r="B12" s="4" t="s">
        <v>389</v>
      </c>
      <c r="C12" s="4" t="s">
        <v>444</v>
      </c>
    </row>
    <row r="13">
      <c r="A13" s="4" t="s">
        <v>453</v>
      </c>
      <c r="B13" s="4" t="s">
        <v>46</v>
      </c>
      <c r="C13" s="4" t="s">
        <v>444</v>
      </c>
    </row>
    <row r="14">
      <c r="A14" s="4" t="s">
        <v>454</v>
      </c>
      <c r="B14" s="4" t="s">
        <v>46</v>
      </c>
      <c r="C14" s="4" t="s">
        <v>444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38.0"/>
    <col customWidth="1" min="4" max="5" width="16.0"/>
    <col customWidth="1" min="6" max="6" width="22.0"/>
    <col customWidth="1" min="7" max="7" width="26.0"/>
    <col customWidth="1" min="8" max="26" width="8.71"/>
  </cols>
  <sheetData>
    <row r="1">
      <c r="A1" s="1" t="s">
        <v>455</v>
      </c>
    </row>
    <row r="3">
      <c r="A3" s="3" t="s">
        <v>9</v>
      </c>
      <c r="B3" s="3" t="s">
        <v>456</v>
      </c>
      <c r="C3" s="3" t="s">
        <v>301</v>
      </c>
      <c r="D3" s="3" t="s">
        <v>457</v>
      </c>
      <c r="E3" s="3" t="s">
        <v>316</v>
      </c>
      <c r="F3" s="3" t="s">
        <v>458</v>
      </c>
      <c r="G3" s="3" t="s">
        <v>459</v>
      </c>
    </row>
    <row r="4">
      <c r="A4" s="4" t="s">
        <v>460</v>
      </c>
      <c r="B4" s="4" t="s">
        <v>461</v>
      </c>
      <c r="C4" s="4" t="s">
        <v>462</v>
      </c>
      <c r="D4" s="4" t="s">
        <v>463</v>
      </c>
      <c r="E4" s="4" t="s">
        <v>464</v>
      </c>
      <c r="F4" s="4" t="s">
        <v>465</v>
      </c>
      <c r="G4" s="4" t="s">
        <v>343</v>
      </c>
    </row>
    <row r="5">
      <c r="A5" s="4" t="s">
        <v>466</v>
      </c>
      <c r="B5" s="4" t="s">
        <v>467</v>
      </c>
      <c r="C5" s="4" t="s">
        <v>468</v>
      </c>
      <c r="D5" s="4" t="s">
        <v>469</v>
      </c>
      <c r="E5" s="4" t="s">
        <v>470</v>
      </c>
      <c r="F5" s="4" t="s">
        <v>471</v>
      </c>
      <c r="G5" s="4" t="s">
        <v>472</v>
      </c>
    </row>
    <row r="6">
      <c r="A6" s="4" t="s">
        <v>473</v>
      </c>
      <c r="B6" s="4" t="s">
        <v>474</v>
      </c>
      <c r="C6" s="4" t="s">
        <v>475</v>
      </c>
      <c r="D6" s="4" t="s">
        <v>469</v>
      </c>
      <c r="E6" s="4" t="s">
        <v>476</v>
      </c>
      <c r="F6" s="4" t="s">
        <v>471</v>
      </c>
      <c r="G6" s="4" t="s">
        <v>477</v>
      </c>
    </row>
    <row r="7">
      <c r="A7" s="4" t="s">
        <v>478</v>
      </c>
      <c r="B7" s="4" t="s">
        <v>479</v>
      </c>
      <c r="C7" s="4" t="s">
        <v>480</v>
      </c>
      <c r="D7" s="4" t="s">
        <v>481</v>
      </c>
      <c r="E7" s="4" t="s">
        <v>482</v>
      </c>
      <c r="F7" s="4" t="s">
        <v>483</v>
      </c>
      <c r="G7" s="4" t="s">
        <v>127</v>
      </c>
    </row>
    <row r="8">
      <c r="A8" s="4" t="s">
        <v>484</v>
      </c>
      <c r="B8" s="4" t="s">
        <v>485</v>
      </c>
      <c r="C8" s="4" t="s">
        <v>486</v>
      </c>
      <c r="D8" s="4" t="s">
        <v>487</v>
      </c>
      <c r="E8" s="4" t="s">
        <v>488</v>
      </c>
      <c r="F8" s="4" t="s">
        <v>489</v>
      </c>
      <c r="G8" s="4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3" width="60.0"/>
    <col customWidth="1" min="4" max="26" width="8.71"/>
  </cols>
  <sheetData>
    <row r="1">
      <c r="A1" s="1" t="s">
        <v>490</v>
      </c>
    </row>
    <row r="3">
      <c r="A3" s="3" t="s">
        <v>491</v>
      </c>
      <c r="B3" s="3" t="s">
        <v>492</v>
      </c>
      <c r="C3" s="3" t="s">
        <v>493</v>
      </c>
    </row>
    <row r="4">
      <c r="A4" s="4" t="s">
        <v>494</v>
      </c>
      <c r="B4" s="4" t="s">
        <v>495</v>
      </c>
      <c r="C4" s="4" t="s">
        <v>496</v>
      </c>
    </row>
    <row r="5">
      <c r="A5" s="4" t="s">
        <v>497</v>
      </c>
      <c r="B5" s="4" t="s">
        <v>498</v>
      </c>
      <c r="C5" s="4" t="s">
        <v>499</v>
      </c>
    </row>
    <row r="6">
      <c r="A6" s="4" t="s">
        <v>500</v>
      </c>
      <c r="B6" s="4" t="s">
        <v>501</v>
      </c>
      <c r="C6" s="4" t="s">
        <v>502</v>
      </c>
    </row>
    <row r="7">
      <c r="A7" s="4" t="s">
        <v>503</v>
      </c>
      <c r="B7" s="4" t="s">
        <v>504</v>
      </c>
      <c r="C7" s="4" t="s">
        <v>505</v>
      </c>
    </row>
    <row r="8">
      <c r="A8" s="4" t="s">
        <v>506</v>
      </c>
      <c r="B8" s="4" t="s">
        <v>507</v>
      </c>
      <c r="C8" s="4" t="s">
        <v>508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